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14.xml" ContentType="application/vnd.openxmlformats-officedocument.spreadsheetml.comments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Navodila" sheetId="1" state="visible" r:id="rId3"/>
    <sheet name="Nastavitve" sheetId="2" state="visible" r:id="rId4"/>
    <sheet name="Relacije" sheetId="3" state="visible" r:id="rId5"/>
    <sheet name="Letni pregled" sheetId="4" state="visible" r:id="rId6"/>
    <sheet name="Januar" sheetId="5" state="visible" r:id="rId7"/>
    <sheet name="Februar" sheetId="6" state="visible" r:id="rId8"/>
    <sheet name="Marec" sheetId="7" state="visible" r:id="rId9"/>
    <sheet name="April" sheetId="8" state="visible" r:id="rId10"/>
    <sheet name="Maj" sheetId="9" state="visible" r:id="rId11"/>
    <sheet name="Junij" sheetId="10" state="visible" r:id="rId12"/>
    <sheet name="Julij" sheetId="11" state="visible" r:id="rId13"/>
    <sheet name="Avgust" sheetId="12" state="visible" r:id="rId14"/>
    <sheet name="September" sheetId="13" state="visible" r:id="rId15"/>
    <sheet name="Oktober" sheetId="14" state="visible" r:id="rId16"/>
    <sheet name="November" sheetId="15" state="visible" r:id="rId17"/>
    <sheet name="December" sheetId="16" state="visible" r:id="rId18"/>
  </sheets>
  <definedNames>
    <definedName function="false" hidden="false" localSheetId="7" name="_xlnm.Print_Area" vbProcedure="false">April!$A$1:$J$49</definedName>
    <definedName function="false" hidden="false" localSheetId="11" name="_xlnm.Print_Area" vbProcedure="false">Avgust!$A$1:$J$49</definedName>
    <definedName function="false" hidden="false" localSheetId="15" name="_xlnm.Print_Area" vbProcedure="false">December!$A$1:$J$49</definedName>
    <definedName function="false" hidden="false" localSheetId="5" name="_xlnm.Print_Area" vbProcedure="false">Februar!$A$1:$J$49</definedName>
    <definedName function="false" hidden="false" localSheetId="4" name="_xlnm.Print_Area" vbProcedure="false">Januar!$A$1:$J$49</definedName>
    <definedName function="false" hidden="false" localSheetId="10" name="_xlnm.Print_Area" vbProcedure="false">Julij!$A$1:$J$49</definedName>
    <definedName function="false" hidden="false" localSheetId="9" name="_xlnm.Print_Area" vbProcedure="false">Junij!$A$1:$J$49</definedName>
    <definedName function="false" hidden="false" localSheetId="8" name="_xlnm.Print_Area" vbProcedure="false">Maj!$A$1:$J$49</definedName>
    <definedName function="false" hidden="false" localSheetId="6" name="_xlnm.Print_Area" vbProcedure="false">Marec!$A$1:$J$49</definedName>
    <definedName function="false" hidden="false" localSheetId="14" name="_xlnm.Print_Area" vbProcedure="false">November!$A$1:$J$49</definedName>
    <definedName function="false" hidden="false" localSheetId="13" name="_xlnm.Print_Area" vbProcedure="false">Oktober!$A$1:$J$49</definedName>
    <definedName function="false" hidden="false" localSheetId="12" name="_xlnm.Print_Area" vbProcedure="false">September!$A$1:$J$49</definedName>
    <definedName function="false" hidden="false" name="DelovnoMesto" vbProcedure="false">Nastavitve!$C$5</definedName>
    <definedName function="false" hidden="false" name="Enote" vbProcedure="false">Nastavitve!$C$6</definedName>
    <definedName function="false" hidden="false" name="Ime" vbProcedure="false">Nastavitve!$C$4</definedName>
    <definedName function="false" hidden="false" name="KmCene" vbProcedure="false">Nastavitve!$F$5:$F$10</definedName>
    <definedName function="false" hidden="false" name="KmDatumi" vbProcedure="false">Nastavitve!$E$5:$E$10</definedName>
    <definedName function="false" hidden="false" name="Leto" vbProcedure="false">Nastavitve!$C$7</definedName>
    <definedName function="false" hidden="false" name="Prazniki" vbProcedure="false">Nastavitve!$C$17:$C$36</definedName>
    <definedName function="false" hidden="false" name="RelKm" vbProcedure="false">Relacije!$C$5:$C$104</definedName>
    <definedName function="false" hidden="false" name="RelNazivi" vbProcedure="false">Relacije!$B$5:$B$104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Predpostavka: 0,43 €/km. Preverite veljavno kilometrino pri delodajalcu in vrednost po potrebi popravite.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Kilometrina, ki velja na 1. dan meseca (list Nastavitve).</t>
        </r>
      </text>
    </comment>
    <comment ref="J4" authorId="0">
      <text>
        <r>
          <rPr>
            <sz val="10"/>
            <rFont val="Arial"/>
            <family val="2"/>
          </rPr>
          <t xml:space="preserve">Število delovnih dni v mesecu (pon-pet, brez praznikov s lista Nastavitve).</t>
        </r>
      </text>
    </comment>
  </commentList>
</comments>
</file>

<file path=xl/sharedStrings.xml><?xml version="1.0" encoding="utf-8"?>
<sst xmlns="http://schemas.openxmlformats.org/spreadsheetml/2006/main" count="276" uniqueCount="95">
  <si>
    <t xml:space="preserve">NAVODILA ZA UPORABO</t>
  </si>
  <si>
    <t xml:space="preserve">1. List Nastavitve: vpišite ime in priimek, delovno mesto, enote, leto in veljavno kilometrino (€/km).</t>
  </si>
  <si>
    <t xml:space="preserve">2. List Relacije: vpišite relacije in kilometre v ENO smer. Seznam lahko poljubno dopolnjujete (do 100 relacij).</t>
  </si>
  <si>
    <t xml:space="preserve">3. Mesečni listi (Januar ... December): stolpec DATUM je že izpolnjen z delovnimi dnevi meseca</t>
  </si>
  <si>
    <t xml:space="preserve">     (brez sobot, nedelj in praznikov s lista Nastavitve). Za dan s službeno potjo vpišite</t>
  </si>
  <si>
    <t xml:space="preserve">     DOGODEK / NAMEN POTI  →  DOGODEK / NAMEN POTI  →  izberite RELACIJO s seznama  →  izberite POT (tja in nazaj / ena smer).</t>
  </si>
  <si>
    <t xml:space="preserve">     KILOMETRI in VREDNOST se izračunata samodejno (prazna POT pomeni tja in nazaj).</t>
  </si>
  <si>
    <t xml:space="preserve">     Pot na dela prost dan ali drugo pot v istem dnevu vpišite v prazne vrstice pod zadnjim delovnim dnem.</t>
  </si>
  <si>
    <t xml:space="preserve">4. List Letni pregled samodejno povzame število poti, kilometre in znesek po mesecih.</t>
  </si>
  <si>
    <t xml:space="preserve">5. Mesečni list je pripravljen za tisk na A4 ležeče (podpisni list).</t>
  </si>
  <si>
    <t xml:space="preserve">Rumene celice = vnos podatkov. Ostale celice vsebujejo formule - ne prepisujte jih.</t>
  </si>
  <si>
    <t xml:space="preserve">PRIMER VNOSA:</t>
  </si>
  <si>
    <t xml:space="preserve">     1.9.2026  |  Popoldanska delavnica  |  Šmartno pri Cerkljah - Križe  |  tja in nazaj  →  34,9 km  |  15,01 €  (pri 0,43 €/km)</t>
  </si>
  <si>
    <t xml:space="preserve">NASTAVITVE</t>
  </si>
  <si>
    <t xml:space="preserve">Rumene celice izpolnite. Podatki se samodejno prenesejo na vse mesečne liste.</t>
  </si>
  <si>
    <t xml:space="preserve">KILOMETRINA</t>
  </si>
  <si>
    <t xml:space="preserve">Ime in priimek</t>
  </si>
  <si>
    <t xml:space="preserve">Ime Priimek</t>
  </si>
  <si>
    <t xml:space="preserve">velja od</t>
  </si>
  <si>
    <t xml:space="preserve">€ / km</t>
  </si>
  <si>
    <t xml:space="preserve">Delovno mesto / enota</t>
  </si>
  <si>
    <t xml:space="preserve">Enota</t>
  </si>
  <si>
    <t xml:space="preserve">Enote (izpis pod mesecem)</t>
  </si>
  <si>
    <t xml:space="preserve">PALČEK, KRIŽE, DETELJICA, LOM, KOVOR</t>
  </si>
  <si>
    <t xml:space="preserve">Leto</t>
  </si>
  <si>
    <t xml:space="preserve">Ob spremembi vpišite nov datum in znesek v naslednjo vrstico (datumi naraščajoče).</t>
  </si>
  <si>
    <t xml:space="preserve">DELA PROSTI DNEVI (PRAZNIKI)</t>
  </si>
  <si>
    <t xml:space="preserve">praznik</t>
  </si>
  <si>
    <t xml:space="preserve">datum</t>
  </si>
  <si>
    <t xml:space="preserve">Novo leto</t>
  </si>
  <si>
    <t xml:space="preserve">Prešernov dan</t>
  </si>
  <si>
    <t xml:space="preserve">Velikonočni ponedeljek</t>
  </si>
  <si>
    <t xml:space="preserve">Dan upora proti okupatorju</t>
  </si>
  <si>
    <t xml:space="preserve">Praznik dela</t>
  </si>
  <si>
    <t xml:space="preserve">Dan državnosti</t>
  </si>
  <si>
    <t xml:space="preserve">Marijino vnebovzetje</t>
  </si>
  <si>
    <t xml:space="preserve">Dan reformacije</t>
  </si>
  <si>
    <t xml:space="preserve">Dan spomina na mrtve</t>
  </si>
  <si>
    <t xml:space="preserve">Božič</t>
  </si>
  <si>
    <t xml:space="preserve">Dan samostojnosti in enotnosti</t>
  </si>
  <si>
    <t xml:space="preserve">Prazniki se samodejno izračunajo za izbrano leto (velika noč po formuli). V rumene vrstice lahko dodate druge dela proste dneve.</t>
  </si>
  <si>
    <t xml:space="preserve">KILOMETRI MED ENOTAMI / RELACIJE</t>
  </si>
  <si>
    <t xml:space="preserve">Vpišite relacijo in kilometre v eno smer (rumeno). Obe smeri se izračunata samodejno.</t>
  </si>
  <si>
    <t xml:space="preserve">RELACIJA</t>
  </si>
  <si>
    <t xml:space="preserve">KILOMETRI ENA SMER</t>
  </si>
  <si>
    <t xml:space="preserve">KILOMETRI OBE SMERI</t>
  </si>
  <si>
    <t xml:space="preserve">Šmartno pri Cerkljah - Križe</t>
  </si>
  <si>
    <t xml:space="preserve">Šmartno pri Cerkljah - Palček</t>
  </si>
  <si>
    <t xml:space="preserve">Šmartno pri Cerkljah - Lom</t>
  </si>
  <si>
    <t xml:space="preserve">Šmartno pri Cerkljah - Deteljica</t>
  </si>
  <si>
    <t xml:space="preserve">Križe - Muzej</t>
  </si>
  <si>
    <t xml:space="preserve">Križe - Kovor</t>
  </si>
  <si>
    <t xml:space="preserve">Palček - Občina</t>
  </si>
  <si>
    <t xml:space="preserve">Palček - Deteljica</t>
  </si>
  <si>
    <t xml:space="preserve">Palček - Kovor</t>
  </si>
  <si>
    <t xml:space="preserve">Palček - Križe</t>
  </si>
  <si>
    <t xml:space="preserve">Palček - OŠ Tržič</t>
  </si>
  <si>
    <t xml:space="preserve">Palček - Lom</t>
  </si>
  <si>
    <t xml:space="preserve">Palček - Knjižnica</t>
  </si>
  <si>
    <t xml:space="preserve">Palček - Muzej</t>
  </si>
  <si>
    <t xml:space="preserve">Deteljica - Kovor</t>
  </si>
  <si>
    <t xml:space="preserve">Deteljica - Muzej</t>
  </si>
  <si>
    <t xml:space="preserve">Deteljica - Križe</t>
  </si>
  <si>
    <t xml:space="preserve">LETNI PREGLED KILOMETRINE</t>
  </si>
  <si>
    <t xml:space="preserve">MESEC</t>
  </si>
  <si>
    <t xml:space="preserve">ŠT. POTI</t>
  </si>
  <si>
    <t xml:space="preserve">KILOMETRI</t>
  </si>
  <si>
    <t xml:space="preserve">VREDNOST</t>
  </si>
  <si>
    <t xml:space="preserve">DELOVNI DNEVI</t>
  </si>
  <si>
    <t xml:space="preserve">Januar</t>
  </si>
  <si>
    <t xml:space="preserve">Februar</t>
  </si>
  <si>
    <t xml:space="preserve">Marec</t>
  </si>
  <si>
    <t xml:space="preserve">April</t>
  </si>
  <si>
    <t xml:space="preserve">Maj</t>
  </si>
  <si>
    <t xml:space="preserve">Junij</t>
  </si>
  <si>
    <t xml:space="preserve">Julij</t>
  </si>
  <si>
    <t xml:space="preserve">Avgust</t>
  </si>
  <si>
    <t xml:space="preserve">September</t>
  </si>
  <si>
    <t xml:space="preserve">Oktober</t>
  </si>
  <si>
    <t xml:space="preserve">November</t>
  </si>
  <si>
    <t xml:space="preserve">December</t>
  </si>
  <si>
    <t xml:space="preserve">SKUPAJ</t>
  </si>
  <si>
    <t xml:space="preserve">PODPISNI LIST - KILOMETRINA SLUŽBENIH POTI</t>
  </si>
  <si>
    <t xml:space="preserve">kilometrina</t>
  </si>
  <si>
    <t xml:space="preserve">delovni dnevi</t>
  </si>
  <si>
    <t xml:space="preserve">DATUM</t>
  </si>
  <si>
    <t xml:space="preserve">DOGODEK / NAMEN POTI</t>
  </si>
  <si>
    <t xml:space="preserve">RELACIJA*</t>
  </si>
  <si>
    <t xml:space="preserve">POT</t>
  </si>
  <si>
    <t xml:space="preserve">VREDNOST**</t>
  </si>
  <si>
    <t xml:space="preserve">*relacija se vpisuje od enote, kjer opravljate delo, do enote, kjer se odvija dogodek (izbira s seznama na listu Relacije)</t>
  </si>
  <si>
    <t xml:space="preserve">**do povračila potnih stroškov so upravičeni zaposleni, ki v tekočem mesecu niso prejeli povračila potnih stroškov (mesečna karta) oziroma prejemajo povračilo potnih stroškov na drugi relaciji</t>
  </si>
  <si>
    <t xml:space="preserve">Datum:</t>
  </si>
  <si>
    <t xml:space="preserve">Podpis zaposlenega:</t>
  </si>
  <si>
    <t xml:space="preserve">Odobril: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</si>
</sst>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.m\.yyyy"/>
    <numFmt numFmtId="166" formatCode="#,##0.00\€"/>
    <numFmt numFmtId="167" formatCode="ddd\ d\.m\.yyyy"/>
    <numFmt numFmtId="168" formatCode="0.0#"/>
    <numFmt numFmtId="169" formatCode="General"/>
    <numFmt numFmtId="170" formatCode="#,##0.0&quot; km&quot;"/>
    <numFmt numFmtId="171" formatCode="#,##0.00&quot; €&quot;"/>
    <numFmt numFmtId="172" formatCode="0"/>
    <numFmt numFmtId="173" formatCode="mmmm\ 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name val="Calibri"/>
      <family val="0"/>
      <charset val="1"/>
    </font>
    <font>
      <sz val="9"/>
      <color rgb="FF595959"/>
      <name val="Calibri"/>
      <family val="0"/>
      <charset val="1"/>
    </font>
    <font>
      <sz val="10"/>
      <name val="Arial"/>
      <family val="2"/>
    </font>
    <font>
      <sz val="12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6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BE4D5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DDEBF7"/>
        <bgColor rgb="FFE7E6E6"/>
      </patternFill>
    </fill>
    <fill>
      <patternFill patternType="solid">
        <fgColor rgb="FFFBE4D5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D5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1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 t="s">
        <v>8</v>
      </c>
    </row>
    <row r="11" customFormat="false" ht="15" hidden="false" customHeight="false" outlineLevel="0" collapsed="false">
      <c r="B11" s="2" t="s">
        <v>9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B1" s="5" t="s">
        <v>13</v>
      </c>
    </row>
    <row r="2" customFormat="false" ht="15" hidden="false" customHeight="false" outlineLevel="0" collapsed="false">
      <c r="B2" s="6" t="s">
        <v>14</v>
      </c>
    </row>
    <row r="3" customFormat="false" ht="15" hidden="false" customHeight="false" outlineLevel="0" collapsed="false">
      <c r="E3" s="7" t="s">
        <v>15</v>
      </c>
      <c r="F3" s="7"/>
    </row>
    <row r="4" customFormat="false" ht="15" hidden="false" customHeight="false" outlineLevel="0" collapsed="false">
      <c r="B4" s="8" t="s">
        <v>16</v>
      </c>
      <c r="C4" s="9" t="s">
        <v>17</v>
      </c>
      <c r="E4" s="10" t="s">
        <v>18</v>
      </c>
      <c r="F4" s="10" t="s">
        <v>19</v>
      </c>
    </row>
    <row r="5" customFormat="false" ht="15" hidden="false" customHeight="false" outlineLevel="0" collapsed="false">
      <c r="B5" s="8" t="s">
        <v>20</v>
      </c>
      <c r="C5" s="9" t="s">
        <v>21</v>
      </c>
      <c r="E5" s="11" t="n">
        <f aca="false">DATE(Leto,1,1)</f>
        <v>46023</v>
      </c>
      <c r="F5" s="12" t="n">
        <v>0.43</v>
      </c>
    </row>
    <row r="6" customFormat="false" ht="15" hidden="false" customHeight="false" outlineLevel="0" collapsed="false">
      <c r="B6" s="8" t="s">
        <v>22</v>
      </c>
      <c r="C6" s="9" t="s">
        <v>23</v>
      </c>
      <c r="E6" s="11"/>
      <c r="F6" s="12"/>
    </row>
    <row r="7" customFormat="false" ht="15" hidden="false" customHeight="false" outlineLevel="0" collapsed="false">
      <c r="B7" s="8" t="s">
        <v>24</v>
      </c>
      <c r="C7" s="9" t="n">
        <v>2026</v>
      </c>
      <c r="E7" s="11"/>
      <c r="F7" s="12"/>
    </row>
    <row r="8" customFormat="false" ht="15" hidden="false" customHeight="false" outlineLevel="0" collapsed="false">
      <c r="E8" s="11"/>
      <c r="F8" s="12"/>
    </row>
    <row r="9" customFormat="false" ht="15" hidden="false" customHeight="false" outlineLevel="0" collapsed="false">
      <c r="E9" s="11"/>
      <c r="F9" s="12"/>
    </row>
    <row r="10" customFormat="false" ht="15" hidden="false" customHeight="false" outlineLevel="0" collapsed="false">
      <c r="E10" s="11"/>
      <c r="F10" s="12"/>
    </row>
    <row r="11" customFormat="false" ht="15" hidden="false" customHeight="true" outlineLevel="0" collapsed="false">
      <c r="E11" s="13" t="s">
        <v>25</v>
      </c>
      <c r="F11" s="13"/>
    </row>
    <row r="12" customFormat="false" ht="15" hidden="false" customHeight="false" outlineLevel="0" collapsed="false">
      <c r="E12" s="13"/>
      <c r="F12" s="13"/>
    </row>
    <row r="13" customFormat="false" ht="15" hidden="false" customHeight="false" outlineLevel="0" collapsed="false">
      <c r="E13" s="13"/>
      <c r="F13" s="13"/>
    </row>
    <row r="15" customFormat="false" ht="15" hidden="false" customHeight="false" outlineLevel="0" collapsed="false">
      <c r="B15" s="7" t="s">
        <v>26</v>
      </c>
      <c r="C15" s="7"/>
    </row>
    <row r="16" customFormat="false" ht="15" hidden="false" customHeight="false" outlineLevel="0" collapsed="false">
      <c r="B16" s="10" t="s">
        <v>27</v>
      </c>
      <c r="C16" s="10" t="s">
        <v>28</v>
      </c>
    </row>
    <row r="17" customFormat="false" ht="15" hidden="false" customHeight="false" outlineLevel="0" collapsed="false">
      <c r="B17" s="14" t="s">
        <v>29</v>
      </c>
      <c r="C17" s="15" t="n">
        <f aca="false">DATE(Leto,1,1)</f>
        <v>46023</v>
      </c>
    </row>
    <row r="18" customFormat="false" ht="15" hidden="false" customHeight="false" outlineLevel="0" collapsed="false">
      <c r="B18" s="14" t="s">
        <v>29</v>
      </c>
      <c r="C18" s="15" t="n">
        <f aca="false">DATE(Leto,1,2)</f>
        <v>46024</v>
      </c>
    </row>
    <row r="19" customFormat="false" ht="15" hidden="false" customHeight="false" outlineLevel="0" collapsed="false">
      <c r="B19" s="14" t="s">
        <v>30</v>
      </c>
      <c r="C19" s="15" t="n">
        <f aca="false">DATE(Leto,2,8)</f>
        <v>46061</v>
      </c>
    </row>
    <row r="20" customFormat="false" ht="15" hidden="false" customHeight="false" outlineLevel="0" collapsed="false">
      <c r="B20" s="14" t="s">
        <v>31</v>
      </c>
      <c r="C20" s="15" t="n">
        <f aca="false">(FLOOR(DATE(Leto,5,DAY(MINUTE(Leto/38)/2+56)),7)-34)+1</f>
        <v>46118</v>
      </c>
    </row>
    <row r="21" customFormat="false" ht="15" hidden="false" customHeight="false" outlineLevel="0" collapsed="false">
      <c r="B21" s="14" t="s">
        <v>32</v>
      </c>
      <c r="C21" s="15" t="n">
        <f aca="false">DATE(Leto,4,27)</f>
        <v>46139</v>
      </c>
    </row>
    <row r="22" customFormat="false" ht="15" hidden="false" customHeight="false" outlineLevel="0" collapsed="false">
      <c r="B22" s="14" t="s">
        <v>33</v>
      </c>
      <c r="C22" s="15" t="n">
        <f aca="false">DATE(Leto,5,1)</f>
        <v>46143</v>
      </c>
    </row>
    <row r="23" customFormat="false" ht="15" hidden="false" customHeight="false" outlineLevel="0" collapsed="false">
      <c r="B23" s="14" t="s">
        <v>33</v>
      </c>
      <c r="C23" s="15" t="n">
        <f aca="false">DATE(Leto,5,2)</f>
        <v>46144</v>
      </c>
    </row>
    <row r="24" customFormat="false" ht="15" hidden="false" customHeight="false" outlineLevel="0" collapsed="false">
      <c r="B24" s="14" t="s">
        <v>34</v>
      </c>
      <c r="C24" s="15" t="n">
        <f aca="false">DATE(Leto,6,25)</f>
        <v>46198</v>
      </c>
    </row>
    <row r="25" customFormat="false" ht="15" hidden="false" customHeight="false" outlineLevel="0" collapsed="false">
      <c r="B25" s="14" t="s">
        <v>35</v>
      </c>
      <c r="C25" s="15" t="n">
        <f aca="false">DATE(Leto,8,15)</f>
        <v>46249</v>
      </c>
    </row>
    <row r="26" customFormat="false" ht="15" hidden="false" customHeight="false" outlineLevel="0" collapsed="false">
      <c r="B26" s="14" t="s">
        <v>36</v>
      </c>
      <c r="C26" s="15" t="n">
        <f aca="false">DATE(Leto,10,31)</f>
        <v>46326</v>
      </c>
    </row>
    <row r="27" customFormat="false" ht="15" hidden="false" customHeight="false" outlineLevel="0" collapsed="false">
      <c r="B27" s="14" t="s">
        <v>37</v>
      </c>
      <c r="C27" s="15" t="n">
        <f aca="false">DATE(Leto,11,1)</f>
        <v>46327</v>
      </c>
    </row>
    <row r="28" customFormat="false" ht="15" hidden="false" customHeight="false" outlineLevel="0" collapsed="false">
      <c r="B28" s="14" t="s">
        <v>38</v>
      </c>
      <c r="C28" s="15" t="n">
        <f aca="false">DATE(Leto,12,25)</f>
        <v>46381</v>
      </c>
    </row>
    <row r="29" customFormat="false" ht="15" hidden="false" customHeight="false" outlineLevel="0" collapsed="false">
      <c r="B29" s="14" t="s">
        <v>39</v>
      </c>
      <c r="C29" s="15" t="n">
        <f aca="false">DATE(Leto,12,26)</f>
        <v>46382</v>
      </c>
    </row>
    <row r="30" customFormat="false" ht="15" hidden="false" customHeight="false" outlineLevel="0" collapsed="false">
      <c r="B30" s="16"/>
      <c r="C30" s="17"/>
    </row>
    <row r="31" customFormat="false" ht="15" hidden="false" customHeight="false" outlineLevel="0" collapsed="false">
      <c r="B31" s="16"/>
      <c r="C31" s="17"/>
    </row>
    <row r="32" customFormat="false" ht="15" hidden="false" customHeight="false" outlineLevel="0" collapsed="false">
      <c r="B32" s="16"/>
      <c r="C32" s="17"/>
    </row>
    <row r="33" customFormat="false" ht="15" hidden="false" customHeight="false" outlineLevel="0" collapsed="false">
      <c r="B33" s="16"/>
      <c r="C33" s="17"/>
    </row>
    <row r="34" customFormat="false" ht="15" hidden="false" customHeight="false" outlineLevel="0" collapsed="false">
      <c r="B34" s="16"/>
      <c r="C34" s="17"/>
    </row>
    <row r="35" customFormat="false" ht="15" hidden="false" customHeight="false" outlineLevel="0" collapsed="false">
      <c r="B35" s="16"/>
      <c r="C35" s="17"/>
    </row>
    <row r="36" customFormat="false" ht="15" hidden="false" customHeight="false" outlineLevel="0" collapsed="false">
      <c r="B36" s="16"/>
      <c r="C36" s="17"/>
    </row>
    <row r="37" customFormat="false" ht="15" hidden="false" customHeight="true" outlineLevel="0" collapsed="false">
      <c r="B37" s="13" t="s">
        <v>40</v>
      </c>
      <c r="C37" s="13"/>
    </row>
    <row r="38" customFormat="false" ht="15" hidden="false" customHeight="false" outlineLevel="0" collapsed="false">
      <c r="B38" s="13"/>
      <c r="C38" s="13"/>
    </row>
  </sheetData>
  <mergeCells count="4">
    <mergeCell ref="E3:F3"/>
    <mergeCell ref="E11:F13"/>
    <mergeCell ref="B15:C15"/>
    <mergeCell ref="B37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4"/>
  </cols>
  <sheetData>
    <row r="1" customFormat="false" ht="17.35" hidden="false" customHeight="false" outlineLevel="0" collapsed="false">
      <c r="B1" s="5" t="s">
        <v>41</v>
      </c>
    </row>
    <row r="2" customFormat="false" ht="15" hidden="false" customHeight="false" outlineLevel="0" collapsed="false">
      <c r="B2" s="6" t="s">
        <v>42</v>
      </c>
    </row>
    <row r="4" customFormat="false" ht="30" hidden="false" customHeight="true" outlineLevel="0" collapsed="false">
      <c r="B4" s="18" t="s">
        <v>43</v>
      </c>
      <c r="C4" s="18" t="s">
        <v>44</v>
      </c>
      <c r="D4" s="18" t="s">
        <v>45</v>
      </c>
    </row>
    <row r="5" customFormat="false" ht="15" hidden="false" customHeight="false" outlineLevel="0" collapsed="false">
      <c r="B5" s="16" t="s">
        <v>46</v>
      </c>
      <c r="C5" s="19" t="n">
        <v>17.45</v>
      </c>
      <c r="D5" s="20" t="n">
        <f aca="false">IF(C5="","",C5*2)</f>
        <v>34.9</v>
      </c>
    </row>
    <row r="6" customFormat="false" ht="15" hidden="false" customHeight="false" outlineLevel="0" collapsed="false">
      <c r="B6" s="16" t="s">
        <v>47</v>
      </c>
      <c r="C6" s="19" t="n">
        <v>14.8</v>
      </c>
      <c r="D6" s="20" t="n">
        <f aca="false">IF(C6="","",C6*2)</f>
        <v>29.6</v>
      </c>
    </row>
    <row r="7" customFormat="false" ht="15" hidden="false" customHeight="false" outlineLevel="0" collapsed="false">
      <c r="B7" s="16" t="s">
        <v>48</v>
      </c>
      <c r="C7" s="19" t="n">
        <v>18</v>
      </c>
      <c r="D7" s="20" t="n">
        <f aca="false">IF(C7="","",C7*2)</f>
        <v>36</v>
      </c>
    </row>
    <row r="8" customFormat="false" ht="15" hidden="false" customHeight="false" outlineLevel="0" collapsed="false">
      <c r="B8" s="16" t="s">
        <v>49</v>
      </c>
      <c r="C8" s="19" t="n">
        <v>16.5</v>
      </c>
      <c r="D8" s="20" t="n">
        <f aca="false">IF(C8="","",C8*2)</f>
        <v>33</v>
      </c>
    </row>
    <row r="9" customFormat="false" ht="15" hidden="false" customHeight="false" outlineLevel="0" collapsed="false">
      <c r="B9" s="16" t="s">
        <v>50</v>
      </c>
      <c r="C9" s="19" t="n">
        <v>3.5</v>
      </c>
      <c r="D9" s="20" t="n">
        <f aca="false">IF(C9="","",C9*2)</f>
        <v>7</v>
      </c>
    </row>
    <row r="10" customFormat="false" ht="15" hidden="false" customHeight="false" outlineLevel="0" collapsed="false">
      <c r="B10" s="16" t="s">
        <v>51</v>
      </c>
      <c r="C10" s="19" t="n">
        <v>1.6</v>
      </c>
      <c r="D10" s="20" t="n">
        <f aca="false">IF(C10="","",C10*2)</f>
        <v>3.2</v>
      </c>
    </row>
    <row r="11" customFormat="false" ht="15" hidden="false" customHeight="false" outlineLevel="0" collapsed="false">
      <c r="B11" s="16" t="s">
        <v>52</v>
      </c>
      <c r="C11" s="19" t="n">
        <v>1.1</v>
      </c>
      <c r="D11" s="20" t="n">
        <f aca="false">IF(C11="","",C11*2)</f>
        <v>2.2</v>
      </c>
    </row>
    <row r="12" customFormat="false" ht="15" hidden="false" customHeight="false" outlineLevel="0" collapsed="false">
      <c r="B12" s="16" t="s">
        <v>53</v>
      </c>
      <c r="C12" s="19" t="n">
        <v>1.2</v>
      </c>
      <c r="D12" s="20" t="n">
        <f aca="false">IF(C12="","",C12*2)</f>
        <v>2.4</v>
      </c>
    </row>
    <row r="13" customFormat="false" ht="15" hidden="false" customHeight="false" outlineLevel="0" collapsed="false">
      <c r="B13" s="16" t="s">
        <v>54</v>
      </c>
      <c r="C13" s="19" t="n">
        <v>2.8</v>
      </c>
      <c r="D13" s="20" t="n">
        <f aca="false">IF(C13="","",C13*2)</f>
        <v>5.6</v>
      </c>
    </row>
    <row r="14" customFormat="false" ht="15" hidden="false" customHeight="false" outlineLevel="0" collapsed="false">
      <c r="B14" s="16" t="s">
        <v>55</v>
      </c>
      <c r="C14" s="19" t="n">
        <v>2.7</v>
      </c>
      <c r="D14" s="20" t="n">
        <f aca="false">IF(C14="","",C14*2)</f>
        <v>5.4</v>
      </c>
    </row>
    <row r="15" customFormat="false" ht="15" hidden="false" customHeight="false" outlineLevel="0" collapsed="false">
      <c r="B15" s="16" t="s">
        <v>56</v>
      </c>
      <c r="C15" s="19" t="n">
        <v>1.5</v>
      </c>
      <c r="D15" s="20" t="n">
        <f aca="false">IF(C15="","",C15*2)</f>
        <v>3</v>
      </c>
    </row>
    <row r="16" customFormat="false" ht="15" hidden="false" customHeight="false" outlineLevel="0" collapsed="false">
      <c r="B16" s="16" t="s">
        <v>57</v>
      </c>
      <c r="C16" s="19" t="n">
        <v>3.3</v>
      </c>
      <c r="D16" s="20" t="n">
        <f aca="false">IF(C16="","",C16*2)</f>
        <v>6.6</v>
      </c>
    </row>
    <row r="17" customFormat="false" ht="15" hidden="false" customHeight="false" outlineLevel="0" collapsed="false">
      <c r="B17" s="16" t="s">
        <v>58</v>
      </c>
      <c r="C17" s="19" t="n">
        <v>1.1</v>
      </c>
      <c r="D17" s="20" t="n">
        <f aca="false">IF(C17="","",C17*2)</f>
        <v>2.2</v>
      </c>
    </row>
    <row r="18" customFormat="false" ht="15" hidden="false" customHeight="false" outlineLevel="0" collapsed="false">
      <c r="B18" s="16" t="s">
        <v>59</v>
      </c>
      <c r="C18" s="19" t="n">
        <v>1.5</v>
      </c>
      <c r="D18" s="20" t="n">
        <f aca="false">IF(C18="","",C18*2)</f>
        <v>3</v>
      </c>
    </row>
    <row r="19" customFormat="false" ht="15" hidden="false" customHeight="false" outlineLevel="0" collapsed="false">
      <c r="B19" s="16" t="s">
        <v>60</v>
      </c>
      <c r="C19" s="19" t="n">
        <v>1.9</v>
      </c>
      <c r="D19" s="20" t="n">
        <f aca="false">IF(C19="","",C19*2)</f>
        <v>3.8</v>
      </c>
    </row>
    <row r="20" customFormat="false" ht="15" hidden="false" customHeight="false" outlineLevel="0" collapsed="false">
      <c r="B20" s="16" t="s">
        <v>61</v>
      </c>
      <c r="C20" s="19" t="n">
        <v>2.6</v>
      </c>
      <c r="D20" s="20" t="n">
        <f aca="false">IF(C20="","",C20*2)</f>
        <v>5.2</v>
      </c>
    </row>
    <row r="21" customFormat="false" ht="15" hidden="false" customHeight="false" outlineLevel="0" collapsed="false">
      <c r="B21" s="16" t="s">
        <v>62</v>
      </c>
      <c r="C21" s="19" t="n">
        <v>2.7</v>
      </c>
      <c r="D21" s="20" t="n">
        <f aca="false">IF(C21="","",C21*2)</f>
        <v>5.4</v>
      </c>
    </row>
    <row r="22" customFormat="false" ht="15" hidden="false" customHeight="false" outlineLevel="0" collapsed="false">
      <c r="B22" s="16"/>
      <c r="C22" s="19"/>
      <c r="D22" s="20" t="str">
        <f aca="false">IF(C22="","",C22*2)</f>
        <v/>
      </c>
    </row>
    <row r="23" customFormat="false" ht="15" hidden="false" customHeight="false" outlineLevel="0" collapsed="false">
      <c r="B23" s="16"/>
      <c r="C23" s="19"/>
      <c r="D23" s="20" t="str">
        <f aca="false">IF(C23="","",C23*2)</f>
        <v/>
      </c>
    </row>
    <row r="24" customFormat="false" ht="15" hidden="false" customHeight="false" outlineLevel="0" collapsed="false">
      <c r="B24" s="16"/>
      <c r="C24" s="19"/>
      <c r="D24" s="20" t="str">
        <f aca="false">IF(C24="","",C24*2)</f>
        <v/>
      </c>
    </row>
    <row r="25" customFormat="false" ht="15" hidden="false" customHeight="false" outlineLevel="0" collapsed="false">
      <c r="B25" s="16"/>
      <c r="C25" s="19"/>
      <c r="D25" s="20" t="str">
        <f aca="false">IF(C25="","",C25*2)</f>
        <v/>
      </c>
    </row>
    <row r="26" customFormat="false" ht="15" hidden="false" customHeight="false" outlineLevel="0" collapsed="false">
      <c r="B26" s="16"/>
      <c r="C26" s="19"/>
      <c r="D26" s="20" t="str">
        <f aca="false">IF(C26="","",C26*2)</f>
        <v/>
      </c>
    </row>
    <row r="27" customFormat="false" ht="15" hidden="false" customHeight="false" outlineLevel="0" collapsed="false">
      <c r="B27" s="16"/>
      <c r="C27" s="19"/>
      <c r="D27" s="20" t="str">
        <f aca="false">IF(C27="","",C27*2)</f>
        <v/>
      </c>
    </row>
    <row r="28" customFormat="false" ht="15" hidden="false" customHeight="false" outlineLevel="0" collapsed="false">
      <c r="B28" s="16"/>
      <c r="C28" s="19"/>
      <c r="D28" s="20" t="str">
        <f aca="false">IF(C28="","",C28*2)</f>
        <v/>
      </c>
    </row>
    <row r="29" customFormat="false" ht="15" hidden="false" customHeight="false" outlineLevel="0" collapsed="false">
      <c r="B29" s="16"/>
      <c r="C29" s="19"/>
      <c r="D29" s="20" t="str">
        <f aca="false">IF(C29="","",C29*2)</f>
        <v/>
      </c>
    </row>
    <row r="30" customFormat="false" ht="15" hidden="false" customHeight="false" outlineLevel="0" collapsed="false">
      <c r="B30" s="16"/>
      <c r="C30" s="19"/>
      <c r="D30" s="20" t="str">
        <f aca="false">IF(C30="","",C30*2)</f>
        <v/>
      </c>
    </row>
    <row r="31" customFormat="false" ht="15" hidden="false" customHeight="false" outlineLevel="0" collapsed="false">
      <c r="B31" s="16"/>
      <c r="C31" s="19"/>
      <c r="D31" s="20" t="str">
        <f aca="false">IF(C31="","",C31*2)</f>
        <v/>
      </c>
    </row>
    <row r="32" customFormat="false" ht="15" hidden="false" customHeight="false" outlineLevel="0" collapsed="false">
      <c r="B32" s="16"/>
      <c r="C32" s="19"/>
      <c r="D32" s="20" t="str">
        <f aca="false">IF(C32="","",C32*2)</f>
        <v/>
      </c>
    </row>
    <row r="33" customFormat="false" ht="15" hidden="false" customHeight="false" outlineLevel="0" collapsed="false">
      <c r="B33" s="16"/>
      <c r="C33" s="19"/>
      <c r="D33" s="20" t="str">
        <f aca="false">IF(C33="","",C33*2)</f>
        <v/>
      </c>
    </row>
    <row r="34" customFormat="false" ht="15" hidden="false" customHeight="false" outlineLevel="0" collapsed="false">
      <c r="B34" s="16"/>
      <c r="C34" s="19"/>
      <c r="D34" s="20" t="str">
        <f aca="false">IF(C34="","",C34*2)</f>
        <v/>
      </c>
    </row>
    <row r="35" customFormat="false" ht="15" hidden="false" customHeight="false" outlineLevel="0" collapsed="false">
      <c r="B35" s="16"/>
      <c r="C35" s="19"/>
      <c r="D35" s="20" t="str">
        <f aca="false">IF(C35="","",C35*2)</f>
        <v/>
      </c>
    </row>
    <row r="36" customFormat="false" ht="15" hidden="false" customHeight="false" outlineLevel="0" collapsed="false">
      <c r="B36" s="16"/>
      <c r="C36" s="19"/>
      <c r="D36" s="20" t="str">
        <f aca="false">IF(C36="","",C36*2)</f>
        <v/>
      </c>
    </row>
    <row r="37" customFormat="false" ht="15" hidden="false" customHeight="false" outlineLevel="0" collapsed="false">
      <c r="B37" s="16"/>
      <c r="C37" s="19"/>
      <c r="D37" s="20" t="str">
        <f aca="false">IF(C37="","",C37*2)</f>
        <v/>
      </c>
    </row>
    <row r="38" customFormat="false" ht="15" hidden="false" customHeight="false" outlineLevel="0" collapsed="false">
      <c r="B38" s="16"/>
      <c r="C38" s="19"/>
      <c r="D38" s="20" t="str">
        <f aca="false">IF(C38="","",C38*2)</f>
        <v/>
      </c>
    </row>
    <row r="39" customFormat="false" ht="15" hidden="false" customHeight="false" outlineLevel="0" collapsed="false">
      <c r="B39" s="16"/>
      <c r="C39" s="19"/>
      <c r="D39" s="20" t="str">
        <f aca="false">IF(C39="","",C39*2)</f>
        <v/>
      </c>
    </row>
    <row r="40" customFormat="false" ht="15" hidden="false" customHeight="false" outlineLevel="0" collapsed="false">
      <c r="B40" s="16"/>
      <c r="C40" s="19"/>
      <c r="D40" s="20" t="str">
        <f aca="false">IF(C40="","",C40*2)</f>
        <v/>
      </c>
    </row>
    <row r="41" customFormat="false" ht="15" hidden="false" customHeight="false" outlineLevel="0" collapsed="false">
      <c r="B41" s="16"/>
      <c r="C41" s="19"/>
      <c r="D41" s="20" t="str">
        <f aca="false">IF(C41="","",C41*2)</f>
        <v/>
      </c>
    </row>
    <row r="42" customFormat="false" ht="15" hidden="false" customHeight="false" outlineLevel="0" collapsed="false">
      <c r="B42" s="16"/>
      <c r="C42" s="19"/>
      <c r="D42" s="20" t="str">
        <f aca="false">IF(C42="","",C42*2)</f>
        <v/>
      </c>
    </row>
    <row r="43" customFormat="false" ht="15" hidden="false" customHeight="false" outlineLevel="0" collapsed="false">
      <c r="B43" s="16"/>
      <c r="C43" s="19"/>
      <c r="D43" s="20" t="str">
        <f aca="false">IF(C43="","",C43*2)</f>
        <v/>
      </c>
    </row>
    <row r="44" customFormat="false" ht="15" hidden="false" customHeight="false" outlineLevel="0" collapsed="false">
      <c r="B44" s="16"/>
      <c r="C44" s="19"/>
      <c r="D44" s="20" t="str">
        <f aca="false">IF(C44="","",C44*2)</f>
        <v/>
      </c>
    </row>
    <row r="45" customFormat="false" ht="15" hidden="false" customHeight="false" outlineLevel="0" collapsed="false">
      <c r="B45" s="16"/>
      <c r="C45" s="19"/>
      <c r="D45" s="20" t="str">
        <f aca="false">IF(C45="","",C45*2)</f>
        <v/>
      </c>
    </row>
    <row r="46" customFormat="false" ht="15" hidden="false" customHeight="false" outlineLevel="0" collapsed="false">
      <c r="B46" s="16"/>
      <c r="C46" s="19"/>
      <c r="D46" s="20" t="str">
        <f aca="false">IF(C46="","",C46*2)</f>
        <v/>
      </c>
    </row>
    <row r="47" customFormat="false" ht="15" hidden="false" customHeight="false" outlineLevel="0" collapsed="false">
      <c r="B47" s="16"/>
      <c r="C47" s="19"/>
      <c r="D47" s="20" t="str">
        <f aca="false">IF(C47="","",C47*2)</f>
        <v/>
      </c>
    </row>
    <row r="48" customFormat="false" ht="15" hidden="false" customHeight="false" outlineLevel="0" collapsed="false">
      <c r="B48" s="16"/>
      <c r="C48" s="19"/>
      <c r="D48" s="20" t="str">
        <f aca="false">IF(C48="","",C48*2)</f>
        <v/>
      </c>
    </row>
    <row r="49" customFormat="false" ht="15" hidden="false" customHeight="false" outlineLevel="0" collapsed="false">
      <c r="B49" s="16"/>
      <c r="C49" s="19"/>
      <c r="D49" s="20" t="str">
        <f aca="false">IF(C49="","",C49*2)</f>
        <v/>
      </c>
    </row>
    <row r="50" customFormat="false" ht="15" hidden="false" customHeight="false" outlineLevel="0" collapsed="false">
      <c r="B50" s="16"/>
      <c r="C50" s="19"/>
      <c r="D50" s="20" t="str">
        <f aca="false">IF(C50="","",C50*2)</f>
        <v/>
      </c>
    </row>
    <row r="51" customFormat="false" ht="15" hidden="false" customHeight="false" outlineLevel="0" collapsed="false">
      <c r="B51" s="16"/>
      <c r="C51" s="19"/>
      <c r="D51" s="20" t="str">
        <f aca="false">IF(C51="","",C51*2)</f>
        <v/>
      </c>
    </row>
    <row r="52" customFormat="false" ht="15" hidden="false" customHeight="false" outlineLevel="0" collapsed="false">
      <c r="B52" s="16"/>
      <c r="C52" s="19"/>
      <c r="D52" s="20" t="str">
        <f aca="false">IF(C52="","",C52*2)</f>
        <v/>
      </c>
    </row>
    <row r="53" customFormat="false" ht="15" hidden="false" customHeight="false" outlineLevel="0" collapsed="false">
      <c r="B53" s="16"/>
      <c r="C53" s="19"/>
      <c r="D53" s="20" t="str">
        <f aca="false">IF(C53="","",C53*2)</f>
        <v/>
      </c>
    </row>
    <row r="54" customFormat="false" ht="15" hidden="false" customHeight="false" outlineLevel="0" collapsed="false">
      <c r="B54" s="16"/>
      <c r="C54" s="19"/>
      <c r="D54" s="20" t="str">
        <f aca="false">IF(C54="","",C54*2)</f>
        <v/>
      </c>
    </row>
    <row r="55" customFormat="false" ht="15" hidden="false" customHeight="false" outlineLevel="0" collapsed="false">
      <c r="B55" s="16"/>
      <c r="C55" s="19"/>
      <c r="D55" s="20" t="str">
        <f aca="false">IF(C55="","",C55*2)</f>
        <v/>
      </c>
    </row>
    <row r="56" customFormat="false" ht="15" hidden="false" customHeight="false" outlineLevel="0" collapsed="false">
      <c r="B56" s="16"/>
      <c r="C56" s="19"/>
      <c r="D56" s="20" t="str">
        <f aca="false">IF(C56="","",C56*2)</f>
        <v/>
      </c>
    </row>
    <row r="57" customFormat="false" ht="15" hidden="false" customHeight="false" outlineLevel="0" collapsed="false">
      <c r="B57" s="16"/>
      <c r="C57" s="19"/>
      <c r="D57" s="20" t="str">
        <f aca="false">IF(C57="","",C57*2)</f>
        <v/>
      </c>
    </row>
    <row r="58" customFormat="false" ht="15" hidden="false" customHeight="false" outlineLevel="0" collapsed="false">
      <c r="B58" s="16"/>
      <c r="C58" s="19"/>
      <c r="D58" s="20" t="str">
        <f aca="false">IF(C58="","",C58*2)</f>
        <v/>
      </c>
    </row>
    <row r="59" customFormat="false" ht="15" hidden="false" customHeight="false" outlineLevel="0" collapsed="false">
      <c r="B59" s="16"/>
      <c r="C59" s="19"/>
      <c r="D59" s="20" t="str">
        <f aca="false">IF(C59="","",C59*2)</f>
        <v/>
      </c>
    </row>
    <row r="60" customFormat="false" ht="15" hidden="false" customHeight="false" outlineLevel="0" collapsed="false">
      <c r="B60" s="16"/>
      <c r="C60" s="19"/>
      <c r="D60" s="20" t="str">
        <f aca="false">IF(C60="","",C60*2)</f>
        <v/>
      </c>
    </row>
    <row r="61" customFormat="false" ht="15" hidden="false" customHeight="false" outlineLevel="0" collapsed="false">
      <c r="B61" s="16"/>
      <c r="C61" s="19"/>
      <c r="D61" s="20" t="str">
        <f aca="false">IF(C61="","",C61*2)</f>
        <v/>
      </c>
    </row>
    <row r="62" customFormat="false" ht="15" hidden="false" customHeight="false" outlineLevel="0" collapsed="false">
      <c r="B62" s="16"/>
      <c r="C62" s="19"/>
      <c r="D62" s="20" t="str">
        <f aca="false">IF(C62="","",C62*2)</f>
        <v/>
      </c>
    </row>
    <row r="63" customFormat="false" ht="15" hidden="false" customHeight="false" outlineLevel="0" collapsed="false">
      <c r="B63" s="16"/>
      <c r="C63" s="19"/>
      <c r="D63" s="20" t="str">
        <f aca="false">IF(C63="","",C63*2)</f>
        <v/>
      </c>
    </row>
    <row r="64" customFormat="false" ht="15" hidden="false" customHeight="false" outlineLevel="0" collapsed="false">
      <c r="B64" s="16"/>
      <c r="C64" s="19"/>
      <c r="D64" s="20" t="str">
        <f aca="false">IF(C64="","",C64*2)</f>
        <v/>
      </c>
    </row>
    <row r="65" customFormat="false" ht="15" hidden="false" customHeight="false" outlineLevel="0" collapsed="false">
      <c r="B65" s="16"/>
      <c r="C65" s="19"/>
      <c r="D65" s="20" t="str">
        <f aca="false">IF(C65="","",C65*2)</f>
        <v/>
      </c>
    </row>
    <row r="66" customFormat="false" ht="15" hidden="false" customHeight="false" outlineLevel="0" collapsed="false">
      <c r="B66" s="16"/>
      <c r="C66" s="19"/>
      <c r="D66" s="20" t="str">
        <f aca="false">IF(C66="","",C66*2)</f>
        <v/>
      </c>
    </row>
    <row r="67" customFormat="false" ht="15" hidden="false" customHeight="false" outlineLevel="0" collapsed="false">
      <c r="B67" s="16"/>
      <c r="C67" s="19"/>
      <c r="D67" s="20" t="str">
        <f aca="false">IF(C67="","",C67*2)</f>
        <v/>
      </c>
    </row>
    <row r="68" customFormat="false" ht="15" hidden="false" customHeight="false" outlineLevel="0" collapsed="false">
      <c r="B68" s="16"/>
      <c r="C68" s="19"/>
      <c r="D68" s="20" t="str">
        <f aca="false">IF(C68="","",C68*2)</f>
        <v/>
      </c>
    </row>
    <row r="69" customFormat="false" ht="15" hidden="false" customHeight="false" outlineLevel="0" collapsed="false">
      <c r="B69" s="16"/>
      <c r="C69" s="19"/>
      <c r="D69" s="20" t="str">
        <f aca="false">IF(C69="","",C69*2)</f>
        <v/>
      </c>
    </row>
    <row r="70" customFormat="false" ht="15" hidden="false" customHeight="false" outlineLevel="0" collapsed="false">
      <c r="B70" s="16"/>
      <c r="C70" s="19"/>
      <c r="D70" s="20" t="str">
        <f aca="false">IF(C70="","",C70*2)</f>
        <v/>
      </c>
    </row>
    <row r="71" customFormat="false" ht="15" hidden="false" customHeight="false" outlineLevel="0" collapsed="false">
      <c r="B71" s="16"/>
      <c r="C71" s="19"/>
      <c r="D71" s="20" t="str">
        <f aca="false">IF(C71="","",C71*2)</f>
        <v/>
      </c>
    </row>
    <row r="72" customFormat="false" ht="15" hidden="false" customHeight="false" outlineLevel="0" collapsed="false">
      <c r="B72" s="16"/>
      <c r="C72" s="19"/>
      <c r="D72" s="20" t="str">
        <f aca="false">IF(C72="","",C72*2)</f>
        <v/>
      </c>
    </row>
    <row r="73" customFormat="false" ht="15" hidden="false" customHeight="false" outlineLevel="0" collapsed="false">
      <c r="B73" s="16"/>
      <c r="C73" s="19"/>
      <c r="D73" s="20" t="str">
        <f aca="false">IF(C73="","",C73*2)</f>
        <v/>
      </c>
    </row>
    <row r="74" customFormat="false" ht="15" hidden="false" customHeight="false" outlineLevel="0" collapsed="false">
      <c r="B74" s="16"/>
      <c r="C74" s="19"/>
      <c r="D74" s="20" t="str">
        <f aca="false">IF(C74="","",C74*2)</f>
        <v/>
      </c>
    </row>
    <row r="75" customFormat="false" ht="15" hidden="false" customHeight="false" outlineLevel="0" collapsed="false">
      <c r="B75" s="16"/>
      <c r="C75" s="19"/>
      <c r="D75" s="20" t="str">
        <f aca="false">IF(C75="","",C75*2)</f>
        <v/>
      </c>
    </row>
    <row r="76" customFormat="false" ht="15" hidden="false" customHeight="false" outlineLevel="0" collapsed="false">
      <c r="B76" s="16"/>
      <c r="C76" s="19"/>
      <c r="D76" s="20" t="str">
        <f aca="false">IF(C76="","",C76*2)</f>
        <v/>
      </c>
    </row>
    <row r="77" customFormat="false" ht="15" hidden="false" customHeight="false" outlineLevel="0" collapsed="false">
      <c r="B77" s="16"/>
      <c r="C77" s="19"/>
      <c r="D77" s="20" t="str">
        <f aca="false">IF(C77="","",C77*2)</f>
        <v/>
      </c>
    </row>
    <row r="78" customFormat="false" ht="15" hidden="false" customHeight="false" outlineLevel="0" collapsed="false">
      <c r="B78" s="16"/>
      <c r="C78" s="19"/>
      <c r="D78" s="20" t="str">
        <f aca="false">IF(C78="","",C78*2)</f>
        <v/>
      </c>
    </row>
    <row r="79" customFormat="false" ht="15" hidden="false" customHeight="false" outlineLevel="0" collapsed="false">
      <c r="B79" s="16"/>
      <c r="C79" s="19"/>
      <c r="D79" s="20" t="str">
        <f aca="false">IF(C79="","",C79*2)</f>
        <v/>
      </c>
    </row>
    <row r="80" customFormat="false" ht="15" hidden="false" customHeight="false" outlineLevel="0" collapsed="false">
      <c r="B80" s="16"/>
      <c r="C80" s="19"/>
      <c r="D80" s="20" t="str">
        <f aca="false">IF(C80="","",C80*2)</f>
        <v/>
      </c>
    </row>
    <row r="81" customFormat="false" ht="15" hidden="false" customHeight="false" outlineLevel="0" collapsed="false">
      <c r="B81" s="16"/>
      <c r="C81" s="19"/>
      <c r="D81" s="20" t="str">
        <f aca="false">IF(C81="","",C81*2)</f>
        <v/>
      </c>
    </row>
    <row r="82" customFormat="false" ht="15" hidden="false" customHeight="false" outlineLevel="0" collapsed="false">
      <c r="B82" s="16"/>
      <c r="C82" s="19"/>
      <c r="D82" s="20" t="str">
        <f aca="false">IF(C82="","",C82*2)</f>
        <v/>
      </c>
    </row>
    <row r="83" customFormat="false" ht="15" hidden="false" customHeight="false" outlineLevel="0" collapsed="false">
      <c r="B83" s="16"/>
      <c r="C83" s="19"/>
      <c r="D83" s="20" t="str">
        <f aca="false">IF(C83="","",C83*2)</f>
        <v/>
      </c>
    </row>
    <row r="84" customFormat="false" ht="15" hidden="false" customHeight="false" outlineLevel="0" collapsed="false">
      <c r="B84" s="16"/>
      <c r="C84" s="19"/>
      <c r="D84" s="20" t="str">
        <f aca="false">IF(C84="","",C84*2)</f>
        <v/>
      </c>
    </row>
    <row r="85" customFormat="false" ht="15" hidden="false" customHeight="false" outlineLevel="0" collapsed="false">
      <c r="B85" s="16"/>
      <c r="C85" s="19"/>
      <c r="D85" s="20" t="str">
        <f aca="false">IF(C85="","",C85*2)</f>
        <v/>
      </c>
    </row>
    <row r="86" customFormat="false" ht="15" hidden="false" customHeight="false" outlineLevel="0" collapsed="false">
      <c r="B86" s="16"/>
      <c r="C86" s="19"/>
      <c r="D86" s="20" t="str">
        <f aca="false">IF(C86="","",C86*2)</f>
        <v/>
      </c>
    </row>
    <row r="87" customFormat="false" ht="15" hidden="false" customHeight="false" outlineLevel="0" collapsed="false">
      <c r="B87" s="16"/>
      <c r="C87" s="19"/>
      <c r="D87" s="20" t="str">
        <f aca="false">IF(C87="","",C87*2)</f>
        <v/>
      </c>
    </row>
    <row r="88" customFormat="false" ht="15" hidden="false" customHeight="false" outlineLevel="0" collapsed="false">
      <c r="B88" s="16"/>
      <c r="C88" s="19"/>
      <c r="D88" s="20" t="str">
        <f aca="false">IF(C88="","",C88*2)</f>
        <v/>
      </c>
    </row>
    <row r="89" customFormat="false" ht="15" hidden="false" customHeight="false" outlineLevel="0" collapsed="false">
      <c r="B89" s="16"/>
      <c r="C89" s="19"/>
      <c r="D89" s="20" t="str">
        <f aca="false">IF(C89="","",C89*2)</f>
        <v/>
      </c>
    </row>
    <row r="90" customFormat="false" ht="15" hidden="false" customHeight="false" outlineLevel="0" collapsed="false">
      <c r="B90" s="16"/>
      <c r="C90" s="19"/>
      <c r="D90" s="20" t="str">
        <f aca="false">IF(C90="","",C90*2)</f>
        <v/>
      </c>
    </row>
    <row r="91" customFormat="false" ht="15" hidden="false" customHeight="false" outlineLevel="0" collapsed="false">
      <c r="B91" s="16"/>
      <c r="C91" s="19"/>
      <c r="D91" s="20" t="str">
        <f aca="false">IF(C91="","",C91*2)</f>
        <v/>
      </c>
    </row>
    <row r="92" customFormat="false" ht="15" hidden="false" customHeight="false" outlineLevel="0" collapsed="false">
      <c r="B92" s="16"/>
      <c r="C92" s="19"/>
      <c r="D92" s="20" t="str">
        <f aca="false">IF(C92="","",C92*2)</f>
        <v/>
      </c>
    </row>
    <row r="93" customFormat="false" ht="15" hidden="false" customHeight="false" outlineLevel="0" collapsed="false">
      <c r="B93" s="16"/>
      <c r="C93" s="19"/>
      <c r="D93" s="20" t="str">
        <f aca="false">IF(C93="","",C93*2)</f>
        <v/>
      </c>
    </row>
    <row r="94" customFormat="false" ht="15" hidden="false" customHeight="false" outlineLevel="0" collapsed="false">
      <c r="B94" s="16"/>
      <c r="C94" s="19"/>
      <c r="D94" s="20" t="str">
        <f aca="false">IF(C94="","",C94*2)</f>
        <v/>
      </c>
    </row>
    <row r="95" customFormat="false" ht="15" hidden="false" customHeight="false" outlineLevel="0" collapsed="false">
      <c r="B95" s="16"/>
      <c r="C95" s="19"/>
      <c r="D95" s="20" t="str">
        <f aca="false">IF(C95="","",C95*2)</f>
        <v/>
      </c>
    </row>
    <row r="96" customFormat="false" ht="15" hidden="false" customHeight="false" outlineLevel="0" collapsed="false">
      <c r="B96" s="16"/>
      <c r="C96" s="19"/>
      <c r="D96" s="20" t="str">
        <f aca="false">IF(C96="","",C96*2)</f>
        <v/>
      </c>
    </row>
    <row r="97" customFormat="false" ht="15" hidden="false" customHeight="false" outlineLevel="0" collapsed="false">
      <c r="B97" s="16"/>
      <c r="C97" s="19"/>
      <c r="D97" s="20" t="str">
        <f aca="false">IF(C97="","",C97*2)</f>
        <v/>
      </c>
    </row>
    <row r="98" customFormat="false" ht="15" hidden="false" customHeight="false" outlineLevel="0" collapsed="false">
      <c r="B98" s="16"/>
      <c r="C98" s="19"/>
      <c r="D98" s="20" t="str">
        <f aca="false">IF(C98="","",C98*2)</f>
        <v/>
      </c>
    </row>
    <row r="99" customFormat="false" ht="15" hidden="false" customHeight="false" outlineLevel="0" collapsed="false">
      <c r="B99" s="16"/>
      <c r="C99" s="19"/>
      <c r="D99" s="20" t="str">
        <f aca="false">IF(C99="","",C99*2)</f>
        <v/>
      </c>
    </row>
    <row r="100" customFormat="false" ht="15" hidden="false" customHeight="false" outlineLevel="0" collapsed="false">
      <c r="B100" s="16"/>
      <c r="C100" s="19"/>
      <c r="D100" s="20" t="str">
        <f aca="false">IF(C100="","",C100*2)</f>
        <v/>
      </c>
    </row>
    <row r="101" customFormat="false" ht="15" hidden="false" customHeight="false" outlineLevel="0" collapsed="false">
      <c r="B101" s="16"/>
      <c r="C101" s="19"/>
      <c r="D101" s="20" t="str">
        <f aca="false">IF(C101="","",C101*2)</f>
        <v/>
      </c>
    </row>
    <row r="102" customFormat="false" ht="15" hidden="false" customHeight="false" outlineLevel="0" collapsed="false">
      <c r="B102" s="16"/>
      <c r="C102" s="19"/>
      <c r="D102" s="20" t="str">
        <f aca="false">IF(C102="","",C102*2)</f>
        <v/>
      </c>
    </row>
    <row r="103" customFormat="false" ht="15" hidden="false" customHeight="false" outlineLevel="0" collapsed="false">
      <c r="B103" s="16"/>
      <c r="C103" s="19"/>
      <c r="D103" s="20" t="str">
        <f aca="false">IF(C103="","",C103*2)</f>
        <v/>
      </c>
    </row>
    <row r="104" customFormat="false" ht="15" hidden="false" customHeight="false" outlineLevel="0" collapsed="false">
      <c r="B104" s="16"/>
      <c r="C104" s="19"/>
      <c r="D104" s="20" t="str">
        <f aca="false">IF(C104="","",C104*2)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B1" s="5" t="s">
        <v>63</v>
      </c>
    </row>
    <row r="2" customFormat="false" ht="15" hidden="false" customHeight="false" outlineLevel="0" collapsed="false">
      <c r="B2" s="21" t="str">
        <f aca="false">"Leto "&amp;Leto&amp;" - "&amp;Ime</f>
        <v>Leto 2026 - Ime Priimek</v>
      </c>
    </row>
    <row r="4" customFormat="false" ht="15" hidden="false" customHeight="false" outlineLevel="0" collapsed="false">
      <c r="B4" s="22" t="s">
        <v>64</v>
      </c>
      <c r="C4" s="22" t="s">
        <v>65</v>
      </c>
      <c r="D4" s="22" t="s">
        <v>66</v>
      </c>
      <c r="E4" s="22" t="s">
        <v>67</v>
      </c>
      <c r="F4" s="22" t="s">
        <v>68</v>
      </c>
    </row>
    <row r="5" customFormat="false" ht="15" hidden="false" customHeight="false" outlineLevel="0" collapsed="false">
      <c r="B5" s="23" t="s">
        <v>69</v>
      </c>
      <c r="C5" s="24" t="n">
        <f aca="false">COUNT(Januar!F10:F40)</f>
        <v>0</v>
      </c>
      <c r="D5" s="25" t="n">
        <f aca="false">Januar!F41</f>
        <v>0</v>
      </c>
      <c r="E5" s="26" t="n">
        <f aca="false">Januar!G41</f>
        <v>0</v>
      </c>
      <c r="F5" s="24" t="n">
        <f aca="false">Januar!J4</f>
        <v>20</v>
      </c>
    </row>
    <row r="6" customFormat="false" ht="15" hidden="false" customHeight="false" outlineLevel="0" collapsed="false">
      <c r="B6" s="23" t="s">
        <v>70</v>
      </c>
      <c r="C6" s="24" t="n">
        <f aca="false">COUNT(Februar!F10:F40)</f>
        <v>0</v>
      </c>
      <c r="D6" s="25" t="n">
        <f aca="false">Februar!F41</f>
        <v>0</v>
      </c>
      <c r="E6" s="26" t="n">
        <f aca="false">Februar!G41</f>
        <v>0</v>
      </c>
      <c r="F6" s="24" t="n">
        <f aca="false">Februar!J4</f>
        <v>20</v>
      </c>
    </row>
    <row r="7" customFormat="false" ht="15" hidden="false" customHeight="false" outlineLevel="0" collapsed="false">
      <c r="B7" s="23" t="s">
        <v>71</v>
      </c>
      <c r="C7" s="24" t="n">
        <f aca="false">COUNT(Marec!F10:F40)</f>
        <v>0</v>
      </c>
      <c r="D7" s="25" t="n">
        <f aca="false">Marec!F41</f>
        <v>0</v>
      </c>
      <c r="E7" s="26" t="n">
        <f aca="false">Marec!G41</f>
        <v>0</v>
      </c>
      <c r="F7" s="24" t="n">
        <f aca="false">Marec!J4</f>
        <v>22</v>
      </c>
    </row>
    <row r="8" customFormat="false" ht="15" hidden="false" customHeight="false" outlineLevel="0" collapsed="false">
      <c r="B8" s="23" t="s">
        <v>72</v>
      </c>
      <c r="C8" s="24" t="n">
        <f aca="false">COUNT(April!F10:F40)</f>
        <v>0</v>
      </c>
      <c r="D8" s="25" t="n">
        <f aca="false">April!F41</f>
        <v>0</v>
      </c>
      <c r="E8" s="26" t="n">
        <f aca="false">April!G41</f>
        <v>0</v>
      </c>
      <c r="F8" s="24" t="n">
        <f aca="false">April!J4</f>
        <v>20</v>
      </c>
    </row>
    <row r="9" customFormat="false" ht="15" hidden="false" customHeight="false" outlineLevel="0" collapsed="false">
      <c r="B9" s="23" t="s">
        <v>73</v>
      </c>
      <c r="C9" s="24" t="n">
        <f aca="false">COUNT(Maj!F10:F40)</f>
        <v>0</v>
      </c>
      <c r="D9" s="25" t="n">
        <f aca="false">Maj!F41</f>
        <v>0</v>
      </c>
      <c r="E9" s="26" t="n">
        <f aca="false">Maj!G41</f>
        <v>0</v>
      </c>
      <c r="F9" s="24" t="n">
        <f aca="false">Maj!J4</f>
        <v>20</v>
      </c>
    </row>
    <row r="10" customFormat="false" ht="15" hidden="false" customHeight="false" outlineLevel="0" collapsed="false">
      <c r="B10" s="23" t="s">
        <v>74</v>
      </c>
      <c r="C10" s="24" t="n">
        <f aca="false">COUNT(Junij!F10:F40)</f>
        <v>0</v>
      </c>
      <c r="D10" s="25" t="n">
        <f aca="false">Junij!F41</f>
        <v>0</v>
      </c>
      <c r="E10" s="26" t="n">
        <f aca="false">Junij!G41</f>
        <v>0</v>
      </c>
      <c r="F10" s="24" t="n">
        <f aca="false">Junij!J4</f>
        <v>21</v>
      </c>
    </row>
    <row r="11" customFormat="false" ht="15" hidden="false" customHeight="false" outlineLevel="0" collapsed="false">
      <c r="B11" s="23" t="s">
        <v>75</v>
      </c>
      <c r="C11" s="24" t="n">
        <f aca="false">COUNT(Julij!F10:F40)</f>
        <v>0</v>
      </c>
      <c r="D11" s="25" t="n">
        <f aca="false">Julij!F41</f>
        <v>0</v>
      </c>
      <c r="E11" s="26" t="n">
        <f aca="false">Julij!G41</f>
        <v>0</v>
      </c>
      <c r="F11" s="24" t="n">
        <f aca="false">Julij!J4</f>
        <v>23</v>
      </c>
    </row>
    <row r="12" customFormat="false" ht="15" hidden="false" customHeight="false" outlineLevel="0" collapsed="false">
      <c r="B12" s="23" t="s">
        <v>76</v>
      </c>
      <c r="C12" s="24" t="n">
        <f aca="false">COUNT(Avgust!F10:F40)</f>
        <v>0</v>
      </c>
      <c r="D12" s="25" t="n">
        <f aca="false">Avgust!F41</f>
        <v>0</v>
      </c>
      <c r="E12" s="26" t="n">
        <f aca="false">Avgust!G41</f>
        <v>0</v>
      </c>
      <c r="F12" s="24" t="n">
        <f aca="false">Avgust!J4</f>
        <v>21</v>
      </c>
    </row>
    <row r="13" customFormat="false" ht="15" hidden="false" customHeight="false" outlineLevel="0" collapsed="false">
      <c r="B13" s="23" t="s">
        <v>77</v>
      </c>
      <c r="C13" s="24" t="n">
        <f aca="false">COUNT(September!F10:F40)</f>
        <v>0</v>
      </c>
      <c r="D13" s="25" t="n">
        <f aca="false">September!F41</f>
        <v>0</v>
      </c>
      <c r="E13" s="26" t="n">
        <f aca="false">September!G41</f>
        <v>0</v>
      </c>
      <c r="F13" s="24" t="n">
        <f aca="false">September!J4</f>
        <v>22</v>
      </c>
    </row>
    <row r="14" customFormat="false" ht="15" hidden="false" customHeight="false" outlineLevel="0" collapsed="false">
      <c r="B14" s="23" t="s">
        <v>78</v>
      </c>
      <c r="C14" s="24" t="n">
        <f aca="false">COUNT(Oktober!F10:F40)</f>
        <v>0</v>
      </c>
      <c r="D14" s="25" t="n">
        <f aca="false">Oktober!F41</f>
        <v>0</v>
      </c>
      <c r="E14" s="26" t="n">
        <f aca="false">Oktober!G41</f>
        <v>0</v>
      </c>
      <c r="F14" s="24" t="n">
        <f aca="false">Oktober!J4</f>
        <v>22</v>
      </c>
    </row>
    <row r="15" customFormat="false" ht="15" hidden="false" customHeight="false" outlineLevel="0" collapsed="false">
      <c r="B15" s="23" t="s">
        <v>79</v>
      </c>
      <c r="C15" s="24" t="n">
        <f aca="false">COUNT(November!F10:F40)</f>
        <v>0</v>
      </c>
      <c r="D15" s="25" t="n">
        <f aca="false">November!F41</f>
        <v>0</v>
      </c>
      <c r="E15" s="26" t="n">
        <f aca="false">November!G41</f>
        <v>0</v>
      </c>
      <c r="F15" s="24" t="n">
        <f aca="false">November!J4</f>
        <v>21</v>
      </c>
    </row>
    <row r="16" customFormat="false" ht="15" hidden="false" customHeight="false" outlineLevel="0" collapsed="false">
      <c r="B16" s="23" t="s">
        <v>80</v>
      </c>
      <c r="C16" s="24" t="n">
        <f aca="false">COUNT(December!F10:F40)</f>
        <v>0</v>
      </c>
      <c r="D16" s="25" t="n">
        <f aca="false">December!F41</f>
        <v>0</v>
      </c>
      <c r="E16" s="26" t="n">
        <f aca="false">December!G41</f>
        <v>0</v>
      </c>
      <c r="F16" s="24" t="n">
        <f aca="false">December!J4</f>
        <v>22</v>
      </c>
    </row>
    <row r="17" customFormat="false" ht="17.35" hidden="false" customHeight="false" outlineLevel="0" collapsed="false">
      <c r="B17" s="27" t="s">
        <v>81</v>
      </c>
      <c r="C17" s="28" t="n">
        <f aca="false">SUM(C5:C16)</f>
        <v>0</v>
      </c>
      <c r="D17" s="29" t="n">
        <f aca="false">SUM(D5:D16)</f>
        <v>0</v>
      </c>
      <c r="E17" s="30" t="n">
        <f aca="false">SUM(E5:E16)</f>
        <v>0</v>
      </c>
      <c r="F17" s="28" t="n">
        <f aca="false">SUM(F5:F16)</f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INDEX(KmCene,MATCH(DATE(Leto,1,1),KmDatumi,1))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NETWORKDAYS(DATE(Leto,1,1),EOMONTH(DATE(Leto,1,1),0),Prazniki)</f>
        <v>20</v>
      </c>
    </row>
    <row r="5" customFormat="false" ht="15" hidden="false" customHeight="false" outlineLevel="0" collapsed="false">
      <c r="B5" s="38" t="n">
        <f aca="false">DATE(Leto,1,1)</f>
        <v>46023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IF(WORKDAY(DATE(Leto,1,1)-1,1,Prazniki)&gt;EOMONTH(DATE(Leto,1,1),0),"",WORKDAY(DATE(Leto,1,1)-1,1,Prazniki))</f>
        <v>46027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IF(WORKDAY(DATE(Leto,1,1)-1,2,Prazniki)&gt;EOMONTH(DATE(Leto,1,1),0),"",WORKDAY(DATE(Leto,1,1)-1,2,Prazniki))</f>
        <v>46028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IF(WORKDAY(DATE(Leto,1,1)-1,3,Prazniki)&gt;EOMONTH(DATE(Leto,1,1),0),"",WORKDAY(DATE(Leto,1,1)-1,3,Prazniki))</f>
        <v>46029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IF(WORKDAY(DATE(Leto,1,1)-1,4,Prazniki)&gt;EOMONTH(DATE(Leto,1,1),0),"",WORKDAY(DATE(Leto,1,1)-1,4,Prazniki))</f>
        <v>46030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IF(WORKDAY(DATE(Leto,1,1)-1,5,Prazniki)&gt;EOMONTH(DATE(Leto,1,1),0),"",WORKDAY(DATE(Leto,1,1)-1,5,Prazniki))</f>
        <v>46031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IF(WORKDAY(DATE(Leto,1,1)-1,6,Prazniki)&gt;EOMONTH(DATE(Leto,1,1),0),"",WORKDAY(DATE(Leto,1,1)-1,6,Prazniki))</f>
        <v>46034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IF(WORKDAY(DATE(Leto,1,1)-1,7,Prazniki)&gt;EOMONTH(DATE(Leto,1,1),0),"",WORKDAY(DATE(Leto,1,1)-1,7,Prazniki))</f>
        <v>46035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IF(WORKDAY(DATE(Leto,1,1)-1,8,Prazniki)&gt;EOMONTH(DATE(Leto,1,1),0),"",WORKDAY(DATE(Leto,1,1)-1,8,Prazniki))</f>
        <v>46036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IF(WORKDAY(DATE(Leto,1,1)-1,9,Prazniki)&gt;EOMONTH(DATE(Leto,1,1),0),"",WORKDAY(DATE(Leto,1,1)-1,9,Prazniki))</f>
        <v>46037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IF(WORKDAY(DATE(Leto,1,1)-1,10,Prazniki)&gt;EOMONTH(DATE(Leto,1,1),0),"",WORKDAY(DATE(Leto,1,1)-1,10,Prazniki))</f>
        <v>46038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IF(WORKDAY(DATE(Leto,1,1)-1,11,Prazniki)&gt;EOMONTH(DATE(Leto,1,1),0),"",WORKDAY(DATE(Leto,1,1)-1,11,Prazniki))</f>
        <v>46041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IF(WORKDAY(DATE(Leto,1,1)-1,12,Prazniki)&gt;EOMONTH(DATE(Leto,1,1),0),"",WORKDAY(DATE(Leto,1,1)-1,12,Prazniki))</f>
        <v>46042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IF(WORKDAY(DATE(Leto,1,1)-1,13,Prazniki)&gt;EOMONTH(DATE(Leto,1,1),0),"",WORKDAY(DATE(Leto,1,1)-1,13,Prazniki))</f>
        <v>46043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IF(WORKDAY(DATE(Leto,1,1)-1,14,Prazniki)&gt;EOMONTH(DATE(Leto,1,1),0),"",WORKDAY(DATE(Leto,1,1)-1,14,Prazniki))</f>
        <v>46044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IF(WORKDAY(DATE(Leto,1,1)-1,15,Prazniki)&gt;EOMONTH(DATE(Leto,1,1),0),"",WORKDAY(DATE(Leto,1,1)-1,15,Prazniki))</f>
        <v>46045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IF(WORKDAY(DATE(Leto,1,1)-1,16,Prazniki)&gt;EOMONTH(DATE(Leto,1,1),0),"",WORKDAY(DATE(Leto,1,1)-1,16,Prazniki))</f>
        <v>46048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IF(WORKDAY(DATE(Leto,1,1)-1,17,Prazniki)&gt;EOMONTH(DATE(Leto,1,1),0),"",WORKDAY(DATE(Leto,1,1)-1,17,Prazniki))</f>
        <v>46049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IF(WORKDAY(DATE(Leto,1,1)-1,18,Prazniki)&gt;EOMONTH(DATE(Leto,1,1),0),"",WORKDAY(DATE(Leto,1,1)-1,18,Prazniki))</f>
        <v>46050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IF(WORKDAY(DATE(Leto,1,1)-1,19,Prazniki)&gt;EOMONTH(DATE(Leto,1,1),0),"",WORKDAY(DATE(Leto,1,1)-1,19,Prazniki))</f>
        <v>46051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IF(WORKDAY(DATE(Leto,1,1)-1,20,Prazniki)&gt;EOMONTH(DATE(Leto,1,1),0),"",WORKDAY(DATE(Leto,1,1)-1,20,Prazniki))</f>
        <v>46052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str">
        <f aca="false">IF(WORKDAY(DATE(Leto,1,1)-1,21,Prazniki)&gt;EOMONTH(DATE(Leto,1,1),0),"",WORKDAY(DATE(Leto,1,1)-1,21,Prazniki))</f>
        <v/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IF(WORKDAY(DATE(Leto,1,1)-1,22,Prazniki)&gt;EOMONTH(DATE(Leto,1,1),0),"",WORKDAY(DATE(Leto,1,1)-1,22,Prazniki))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IF(WORKDAY(DATE(Leto,1,1)-1,23,Prazniki)&gt;EOMONTH(DATE(Leto,1,1),0),"",WORKDAY(DATE(Leto,1,1)-1,23,Prazniki))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IF(WORKDAY(DATE(Leto,1,1)-1,24,Prazniki)&gt;EOMONTH(DATE(Leto,1,1),0),"",WORKDAY(DATE(Leto,1,1)-1,24,Prazniki))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IF(WORKDAY(DATE(Leto,1,1)-1,25,Prazniki)&gt;EOMONTH(DATE(Leto,1,1),0),"",WORKDAY(DATE(Leto,1,1)-1,25,Prazniki))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IF(WORKDAY(DATE(Leto,1,1)-1,26,Prazniki)&gt;EOMONTH(DATE(Leto,1,1),0),"",WORKDAY(DATE(Leto,1,1)-1,26,Prazniki))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IF(WORKDAY(DATE(Leto,1,1)-1,27,Prazniki)&gt;EOMONTH(DATE(Leto,1,1),0),"",WORKDAY(DATE(Leto,1,1)-1,27,Prazniki))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IF(WORKDAY(DATE(Leto,1,1)-1,28,Prazniki)&gt;EOMONTH(DATE(Leto,1,1),0),"",WORKDAY(DATE(Leto,1,1)-1,28,Prazniki))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IF(WORKDAY(DATE(Leto,1,1)-1,29,Prazniki)&gt;EOMONTH(DATE(Leto,1,1),0),"",WORKDAY(DATE(Leto,1,1)-1,29,Prazniki))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IF(WORKDAY(DATE(Leto,1,1)-1,30,Prazniki)&gt;EOMONTH(DATE(Leto,1,1),0),"",WORKDAY(DATE(Leto,1,1)-1,30,Prazniki))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IF(WORKDAY(DATE(Leto,1,1)-1,31,Prazniki)&gt;EOMONTH(DATE(Leto,1,1),0),"",WORKDAY(DATE(Leto,1,1)-1,31,Prazniki))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januar." errorStyle="stop" errorTitle="Datum" operator="between" showDropDown="false" showErrorMessage="true" showInputMessage="false" sqref="B10:B40" type="date">
      <formula1>DATE(Leto,1,1)</formula1>
      <formula2>EOMONTH(DATE(Leto,1,1),0)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INDEX(KmCene,MATCH(DATE(Leto,2,1),KmDatumi,1))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NETWORKDAYS(DATE(Leto,2,1),EOMONTH(DATE(Leto,2,1),0),Prazniki)</f>
        <v>20</v>
      </c>
    </row>
    <row r="5" customFormat="false" ht="15" hidden="false" customHeight="false" outlineLevel="0" collapsed="false">
      <c r="B5" s="38" t="n">
        <f aca="false">DATE(Leto,2,1)</f>
        <v>46054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IF(WORKDAY(DATE(Leto,2,1)-1,1,Prazniki)&gt;EOMONTH(DATE(Leto,2,1),0),"",WORKDAY(DATE(Leto,2,1)-1,1,Prazniki))</f>
        <v>46055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IF(WORKDAY(DATE(Leto,2,1)-1,2,Prazniki)&gt;EOMONTH(DATE(Leto,2,1),0),"",WORKDAY(DATE(Leto,2,1)-1,2,Prazniki))</f>
        <v>46056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IF(WORKDAY(DATE(Leto,2,1)-1,3,Prazniki)&gt;EOMONTH(DATE(Leto,2,1),0),"",WORKDAY(DATE(Leto,2,1)-1,3,Prazniki))</f>
        <v>46057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IF(WORKDAY(DATE(Leto,2,1)-1,4,Prazniki)&gt;EOMONTH(DATE(Leto,2,1),0),"",WORKDAY(DATE(Leto,2,1)-1,4,Prazniki))</f>
        <v>46058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IF(WORKDAY(DATE(Leto,2,1)-1,5,Prazniki)&gt;EOMONTH(DATE(Leto,2,1),0),"",WORKDAY(DATE(Leto,2,1)-1,5,Prazniki))</f>
        <v>46059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IF(WORKDAY(DATE(Leto,2,1)-1,6,Prazniki)&gt;EOMONTH(DATE(Leto,2,1),0),"",WORKDAY(DATE(Leto,2,1)-1,6,Prazniki))</f>
        <v>46062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IF(WORKDAY(DATE(Leto,2,1)-1,7,Prazniki)&gt;EOMONTH(DATE(Leto,2,1),0),"",WORKDAY(DATE(Leto,2,1)-1,7,Prazniki))</f>
        <v>46063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IF(WORKDAY(DATE(Leto,2,1)-1,8,Prazniki)&gt;EOMONTH(DATE(Leto,2,1),0),"",WORKDAY(DATE(Leto,2,1)-1,8,Prazniki))</f>
        <v>46064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IF(WORKDAY(DATE(Leto,2,1)-1,9,Prazniki)&gt;EOMONTH(DATE(Leto,2,1),0),"",WORKDAY(DATE(Leto,2,1)-1,9,Prazniki))</f>
        <v>46065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IF(WORKDAY(DATE(Leto,2,1)-1,10,Prazniki)&gt;EOMONTH(DATE(Leto,2,1),0),"",WORKDAY(DATE(Leto,2,1)-1,10,Prazniki))</f>
        <v>46066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IF(WORKDAY(DATE(Leto,2,1)-1,11,Prazniki)&gt;EOMONTH(DATE(Leto,2,1),0),"",WORKDAY(DATE(Leto,2,1)-1,11,Prazniki))</f>
        <v>46069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IF(WORKDAY(DATE(Leto,2,1)-1,12,Prazniki)&gt;EOMONTH(DATE(Leto,2,1),0),"",WORKDAY(DATE(Leto,2,1)-1,12,Prazniki))</f>
        <v>46070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IF(WORKDAY(DATE(Leto,2,1)-1,13,Prazniki)&gt;EOMONTH(DATE(Leto,2,1),0),"",WORKDAY(DATE(Leto,2,1)-1,13,Prazniki))</f>
        <v>46071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IF(WORKDAY(DATE(Leto,2,1)-1,14,Prazniki)&gt;EOMONTH(DATE(Leto,2,1),0),"",WORKDAY(DATE(Leto,2,1)-1,14,Prazniki))</f>
        <v>46072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IF(WORKDAY(DATE(Leto,2,1)-1,15,Prazniki)&gt;EOMONTH(DATE(Leto,2,1),0),"",WORKDAY(DATE(Leto,2,1)-1,15,Prazniki))</f>
        <v>46073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IF(WORKDAY(DATE(Leto,2,1)-1,16,Prazniki)&gt;EOMONTH(DATE(Leto,2,1),0),"",WORKDAY(DATE(Leto,2,1)-1,16,Prazniki))</f>
        <v>46076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IF(WORKDAY(DATE(Leto,2,1)-1,17,Prazniki)&gt;EOMONTH(DATE(Leto,2,1),0),"",WORKDAY(DATE(Leto,2,1)-1,17,Prazniki))</f>
        <v>46077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IF(WORKDAY(DATE(Leto,2,1)-1,18,Prazniki)&gt;EOMONTH(DATE(Leto,2,1),0),"",WORKDAY(DATE(Leto,2,1)-1,18,Prazniki))</f>
        <v>46078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IF(WORKDAY(DATE(Leto,2,1)-1,19,Prazniki)&gt;EOMONTH(DATE(Leto,2,1),0),"",WORKDAY(DATE(Leto,2,1)-1,19,Prazniki))</f>
        <v>46079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IF(WORKDAY(DATE(Leto,2,1)-1,20,Prazniki)&gt;EOMONTH(DATE(Leto,2,1),0),"",WORKDAY(DATE(Leto,2,1)-1,20,Prazniki))</f>
        <v>46080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str">
        <f aca="false">IF(WORKDAY(DATE(Leto,2,1)-1,21,Prazniki)&gt;EOMONTH(DATE(Leto,2,1),0),"",WORKDAY(DATE(Leto,2,1)-1,21,Prazniki))</f>
        <v/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IF(WORKDAY(DATE(Leto,2,1)-1,22,Prazniki)&gt;EOMONTH(DATE(Leto,2,1),0),"",WORKDAY(DATE(Leto,2,1)-1,22,Prazniki))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IF(WORKDAY(DATE(Leto,2,1)-1,23,Prazniki)&gt;EOMONTH(DATE(Leto,2,1),0),"",WORKDAY(DATE(Leto,2,1)-1,23,Prazniki))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IF(WORKDAY(DATE(Leto,2,1)-1,24,Prazniki)&gt;EOMONTH(DATE(Leto,2,1),0),"",WORKDAY(DATE(Leto,2,1)-1,24,Prazniki))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IF(WORKDAY(DATE(Leto,2,1)-1,25,Prazniki)&gt;EOMONTH(DATE(Leto,2,1),0),"",WORKDAY(DATE(Leto,2,1)-1,25,Prazniki))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IF(WORKDAY(DATE(Leto,2,1)-1,26,Prazniki)&gt;EOMONTH(DATE(Leto,2,1),0),"",WORKDAY(DATE(Leto,2,1)-1,26,Prazniki))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IF(WORKDAY(DATE(Leto,2,1)-1,27,Prazniki)&gt;EOMONTH(DATE(Leto,2,1),0),"",WORKDAY(DATE(Leto,2,1)-1,27,Prazniki))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IF(WORKDAY(DATE(Leto,2,1)-1,28,Prazniki)&gt;EOMONTH(DATE(Leto,2,1),0),"",WORKDAY(DATE(Leto,2,1)-1,28,Prazniki))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IF(WORKDAY(DATE(Leto,2,1)-1,29,Prazniki)&gt;EOMONTH(DATE(Leto,2,1),0),"",WORKDAY(DATE(Leto,2,1)-1,29,Prazniki))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IF(WORKDAY(DATE(Leto,2,1)-1,30,Prazniki)&gt;EOMONTH(DATE(Leto,2,1),0),"",WORKDAY(DATE(Leto,2,1)-1,30,Prazniki))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IF(WORKDAY(DATE(Leto,2,1)-1,31,Prazniki)&gt;EOMONTH(DATE(Leto,2,1),0),"",WORKDAY(DATE(Leto,2,1)-1,31,Prazniki))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februar." errorStyle="stop" errorTitle="Datum" operator="between" showDropDown="false" showErrorMessage="true" showInputMessage="false" sqref="B10:B40" type="date">
      <formula1>DATE(Leto,2,1)</formula1>
      <formula2>EOMONTH(DATE(Leto,2,1),0)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INDEX(KmCene,MATCH(DATE(Leto,3,1),KmDatumi,1))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NETWORKDAYS(DATE(Leto,3,1),EOMONTH(DATE(Leto,3,1),0),Prazniki)</f>
        <v>22</v>
      </c>
    </row>
    <row r="5" customFormat="false" ht="15" hidden="false" customHeight="false" outlineLevel="0" collapsed="false">
      <c r="B5" s="38" t="n">
        <f aca="false">DATE(Leto,3,1)</f>
        <v>46082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IF(WORKDAY(DATE(Leto,3,1)-1,1,Prazniki)&gt;EOMONTH(DATE(Leto,3,1),0),"",WORKDAY(DATE(Leto,3,1)-1,1,Prazniki))</f>
        <v>46083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IF(WORKDAY(DATE(Leto,3,1)-1,2,Prazniki)&gt;EOMONTH(DATE(Leto,3,1),0),"",WORKDAY(DATE(Leto,3,1)-1,2,Prazniki))</f>
        <v>46084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IF(WORKDAY(DATE(Leto,3,1)-1,3,Prazniki)&gt;EOMONTH(DATE(Leto,3,1),0),"",WORKDAY(DATE(Leto,3,1)-1,3,Prazniki))</f>
        <v>46085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IF(WORKDAY(DATE(Leto,3,1)-1,4,Prazniki)&gt;EOMONTH(DATE(Leto,3,1),0),"",WORKDAY(DATE(Leto,3,1)-1,4,Prazniki))</f>
        <v>46086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IF(WORKDAY(DATE(Leto,3,1)-1,5,Prazniki)&gt;EOMONTH(DATE(Leto,3,1),0),"",WORKDAY(DATE(Leto,3,1)-1,5,Prazniki))</f>
        <v>46087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IF(WORKDAY(DATE(Leto,3,1)-1,6,Prazniki)&gt;EOMONTH(DATE(Leto,3,1),0),"",WORKDAY(DATE(Leto,3,1)-1,6,Prazniki))</f>
        <v>46090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IF(WORKDAY(DATE(Leto,3,1)-1,7,Prazniki)&gt;EOMONTH(DATE(Leto,3,1),0),"",WORKDAY(DATE(Leto,3,1)-1,7,Prazniki))</f>
        <v>46091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IF(WORKDAY(DATE(Leto,3,1)-1,8,Prazniki)&gt;EOMONTH(DATE(Leto,3,1),0),"",WORKDAY(DATE(Leto,3,1)-1,8,Prazniki))</f>
        <v>46092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IF(WORKDAY(DATE(Leto,3,1)-1,9,Prazniki)&gt;EOMONTH(DATE(Leto,3,1),0),"",WORKDAY(DATE(Leto,3,1)-1,9,Prazniki))</f>
        <v>46093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IF(WORKDAY(DATE(Leto,3,1)-1,10,Prazniki)&gt;EOMONTH(DATE(Leto,3,1),0),"",WORKDAY(DATE(Leto,3,1)-1,10,Prazniki))</f>
        <v>46094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IF(WORKDAY(DATE(Leto,3,1)-1,11,Prazniki)&gt;EOMONTH(DATE(Leto,3,1),0),"",WORKDAY(DATE(Leto,3,1)-1,11,Prazniki))</f>
        <v>46097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IF(WORKDAY(DATE(Leto,3,1)-1,12,Prazniki)&gt;EOMONTH(DATE(Leto,3,1),0),"",WORKDAY(DATE(Leto,3,1)-1,12,Prazniki))</f>
        <v>46098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IF(WORKDAY(DATE(Leto,3,1)-1,13,Prazniki)&gt;EOMONTH(DATE(Leto,3,1),0),"",WORKDAY(DATE(Leto,3,1)-1,13,Prazniki))</f>
        <v>46099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IF(WORKDAY(DATE(Leto,3,1)-1,14,Prazniki)&gt;EOMONTH(DATE(Leto,3,1),0),"",WORKDAY(DATE(Leto,3,1)-1,14,Prazniki))</f>
        <v>46100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IF(WORKDAY(DATE(Leto,3,1)-1,15,Prazniki)&gt;EOMONTH(DATE(Leto,3,1),0),"",WORKDAY(DATE(Leto,3,1)-1,15,Prazniki))</f>
        <v>46101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IF(WORKDAY(DATE(Leto,3,1)-1,16,Prazniki)&gt;EOMONTH(DATE(Leto,3,1),0),"",WORKDAY(DATE(Leto,3,1)-1,16,Prazniki))</f>
        <v>46104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IF(WORKDAY(DATE(Leto,3,1)-1,17,Prazniki)&gt;EOMONTH(DATE(Leto,3,1),0),"",WORKDAY(DATE(Leto,3,1)-1,17,Prazniki))</f>
        <v>46105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IF(WORKDAY(DATE(Leto,3,1)-1,18,Prazniki)&gt;EOMONTH(DATE(Leto,3,1),0),"",WORKDAY(DATE(Leto,3,1)-1,18,Prazniki))</f>
        <v>46106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IF(WORKDAY(DATE(Leto,3,1)-1,19,Prazniki)&gt;EOMONTH(DATE(Leto,3,1),0),"",WORKDAY(DATE(Leto,3,1)-1,19,Prazniki))</f>
        <v>46107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IF(WORKDAY(DATE(Leto,3,1)-1,20,Prazniki)&gt;EOMONTH(DATE(Leto,3,1),0),"",WORKDAY(DATE(Leto,3,1)-1,20,Prazniki))</f>
        <v>46108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IF(WORKDAY(DATE(Leto,3,1)-1,21,Prazniki)&gt;EOMONTH(DATE(Leto,3,1),0),"",WORKDAY(DATE(Leto,3,1)-1,21,Prazniki))</f>
        <v>46111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n">
        <f aca="false">IF(WORKDAY(DATE(Leto,3,1)-1,22,Prazniki)&gt;EOMONTH(DATE(Leto,3,1),0),"",WORKDAY(DATE(Leto,3,1)-1,22,Prazniki))</f>
        <v>46112</v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IF(WORKDAY(DATE(Leto,3,1)-1,23,Prazniki)&gt;EOMONTH(DATE(Leto,3,1),0),"",WORKDAY(DATE(Leto,3,1)-1,23,Prazniki))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IF(WORKDAY(DATE(Leto,3,1)-1,24,Prazniki)&gt;EOMONTH(DATE(Leto,3,1),0),"",WORKDAY(DATE(Leto,3,1)-1,24,Prazniki))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IF(WORKDAY(DATE(Leto,3,1)-1,25,Prazniki)&gt;EOMONTH(DATE(Leto,3,1),0),"",WORKDAY(DATE(Leto,3,1)-1,25,Prazniki))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IF(WORKDAY(DATE(Leto,3,1)-1,26,Prazniki)&gt;EOMONTH(DATE(Leto,3,1),0),"",WORKDAY(DATE(Leto,3,1)-1,26,Prazniki))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IF(WORKDAY(DATE(Leto,3,1)-1,27,Prazniki)&gt;EOMONTH(DATE(Leto,3,1),0),"",WORKDAY(DATE(Leto,3,1)-1,27,Prazniki))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IF(WORKDAY(DATE(Leto,3,1)-1,28,Prazniki)&gt;EOMONTH(DATE(Leto,3,1),0),"",WORKDAY(DATE(Leto,3,1)-1,28,Prazniki))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IF(WORKDAY(DATE(Leto,3,1)-1,29,Prazniki)&gt;EOMONTH(DATE(Leto,3,1),0),"",WORKDAY(DATE(Leto,3,1)-1,29,Prazniki))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IF(WORKDAY(DATE(Leto,3,1)-1,30,Prazniki)&gt;EOMONTH(DATE(Leto,3,1),0),"",WORKDAY(DATE(Leto,3,1)-1,30,Prazniki))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IF(WORKDAY(DATE(Leto,3,1)-1,31,Prazniki)&gt;EOMONTH(DATE(Leto,3,1),0),"",WORKDAY(DATE(Leto,3,1)-1,31,Prazniki))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marec." errorStyle="stop" errorTitle="Datum" operator="between" showDropDown="false" showErrorMessage="true" showInputMessage="false" sqref="B10:B40" type="date">
      <formula1>DATE(Leto,3,1)</formula1>
      <formula2>EOMONTH(DATE(Leto,3,1),0)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INDEX(KmCene,MATCH(DATE(Leto,4,1),KmDatumi,1))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NETWORKDAYS(DATE(Leto,4,1),EOMONTH(DATE(Leto,4,1),0),Prazniki)</f>
        <v>20</v>
      </c>
    </row>
    <row r="5" customFormat="false" ht="15" hidden="false" customHeight="false" outlineLevel="0" collapsed="false">
      <c r="B5" s="38" t="n">
        <f aca="false">DATE(Leto,4,1)</f>
        <v>46113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IF(WORKDAY(DATE(Leto,4,1)-1,1,Prazniki)&gt;EOMONTH(DATE(Leto,4,1),0),"",WORKDAY(DATE(Leto,4,1)-1,1,Prazniki))</f>
        <v>46113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IF(WORKDAY(DATE(Leto,4,1)-1,2,Prazniki)&gt;EOMONTH(DATE(Leto,4,1),0),"",WORKDAY(DATE(Leto,4,1)-1,2,Prazniki))</f>
        <v>46114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IF(WORKDAY(DATE(Leto,4,1)-1,3,Prazniki)&gt;EOMONTH(DATE(Leto,4,1),0),"",WORKDAY(DATE(Leto,4,1)-1,3,Prazniki))</f>
        <v>46115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IF(WORKDAY(DATE(Leto,4,1)-1,4,Prazniki)&gt;EOMONTH(DATE(Leto,4,1),0),"",WORKDAY(DATE(Leto,4,1)-1,4,Prazniki))</f>
        <v>46119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IF(WORKDAY(DATE(Leto,4,1)-1,5,Prazniki)&gt;EOMONTH(DATE(Leto,4,1),0),"",WORKDAY(DATE(Leto,4,1)-1,5,Prazniki))</f>
        <v>46120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IF(WORKDAY(DATE(Leto,4,1)-1,6,Prazniki)&gt;EOMONTH(DATE(Leto,4,1),0),"",WORKDAY(DATE(Leto,4,1)-1,6,Prazniki))</f>
        <v>46121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IF(WORKDAY(DATE(Leto,4,1)-1,7,Prazniki)&gt;EOMONTH(DATE(Leto,4,1),0),"",WORKDAY(DATE(Leto,4,1)-1,7,Prazniki))</f>
        <v>46122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IF(WORKDAY(DATE(Leto,4,1)-1,8,Prazniki)&gt;EOMONTH(DATE(Leto,4,1),0),"",WORKDAY(DATE(Leto,4,1)-1,8,Prazniki))</f>
        <v>46125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IF(WORKDAY(DATE(Leto,4,1)-1,9,Prazniki)&gt;EOMONTH(DATE(Leto,4,1),0),"",WORKDAY(DATE(Leto,4,1)-1,9,Prazniki))</f>
        <v>46126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IF(WORKDAY(DATE(Leto,4,1)-1,10,Prazniki)&gt;EOMONTH(DATE(Leto,4,1),0),"",WORKDAY(DATE(Leto,4,1)-1,10,Prazniki))</f>
        <v>46127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IF(WORKDAY(DATE(Leto,4,1)-1,11,Prazniki)&gt;EOMONTH(DATE(Leto,4,1),0),"",WORKDAY(DATE(Leto,4,1)-1,11,Prazniki))</f>
        <v>46128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IF(WORKDAY(DATE(Leto,4,1)-1,12,Prazniki)&gt;EOMONTH(DATE(Leto,4,1),0),"",WORKDAY(DATE(Leto,4,1)-1,12,Prazniki))</f>
        <v>46129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IF(WORKDAY(DATE(Leto,4,1)-1,13,Prazniki)&gt;EOMONTH(DATE(Leto,4,1),0),"",WORKDAY(DATE(Leto,4,1)-1,13,Prazniki))</f>
        <v>46132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IF(WORKDAY(DATE(Leto,4,1)-1,14,Prazniki)&gt;EOMONTH(DATE(Leto,4,1),0),"",WORKDAY(DATE(Leto,4,1)-1,14,Prazniki))</f>
        <v>46133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IF(WORKDAY(DATE(Leto,4,1)-1,15,Prazniki)&gt;EOMONTH(DATE(Leto,4,1),0),"",WORKDAY(DATE(Leto,4,1)-1,15,Prazniki))</f>
        <v>46134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IF(WORKDAY(DATE(Leto,4,1)-1,16,Prazniki)&gt;EOMONTH(DATE(Leto,4,1),0),"",WORKDAY(DATE(Leto,4,1)-1,16,Prazniki))</f>
        <v>46135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IF(WORKDAY(DATE(Leto,4,1)-1,17,Prazniki)&gt;EOMONTH(DATE(Leto,4,1),0),"",WORKDAY(DATE(Leto,4,1)-1,17,Prazniki))</f>
        <v>46136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IF(WORKDAY(DATE(Leto,4,1)-1,18,Prazniki)&gt;EOMONTH(DATE(Leto,4,1),0),"",WORKDAY(DATE(Leto,4,1)-1,18,Prazniki))</f>
        <v>46140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IF(WORKDAY(DATE(Leto,4,1)-1,19,Prazniki)&gt;EOMONTH(DATE(Leto,4,1),0),"",WORKDAY(DATE(Leto,4,1)-1,19,Prazniki))</f>
        <v>46141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IF(WORKDAY(DATE(Leto,4,1)-1,20,Prazniki)&gt;EOMONTH(DATE(Leto,4,1),0),"",WORKDAY(DATE(Leto,4,1)-1,20,Prazniki))</f>
        <v>46142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str">
        <f aca="false">IF(WORKDAY(DATE(Leto,4,1)-1,21,Prazniki)&gt;EOMONTH(DATE(Leto,4,1),0),"",WORKDAY(DATE(Leto,4,1)-1,21,Prazniki))</f>
        <v/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IF(WORKDAY(DATE(Leto,4,1)-1,22,Prazniki)&gt;EOMONTH(DATE(Leto,4,1),0),"",WORKDAY(DATE(Leto,4,1)-1,22,Prazniki))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IF(WORKDAY(DATE(Leto,4,1)-1,23,Prazniki)&gt;EOMONTH(DATE(Leto,4,1),0),"",WORKDAY(DATE(Leto,4,1)-1,23,Prazniki))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IF(WORKDAY(DATE(Leto,4,1)-1,24,Prazniki)&gt;EOMONTH(DATE(Leto,4,1),0),"",WORKDAY(DATE(Leto,4,1)-1,24,Prazniki))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IF(WORKDAY(DATE(Leto,4,1)-1,25,Prazniki)&gt;EOMONTH(DATE(Leto,4,1),0),"",WORKDAY(DATE(Leto,4,1)-1,25,Prazniki))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IF(WORKDAY(DATE(Leto,4,1)-1,26,Prazniki)&gt;EOMONTH(DATE(Leto,4,1),0),"",WORKDAY(DATE(Leto,4,1)-1,26,Prazniki))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IF(WORKDAY(DATE(Leto,4,1)-1,27,Prazniki)&gt;EOMONTH(DATE(Leto,4,1),0),"",WORKDAY(DATE(Leto,4,1)-1,27,Prazniki))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IF(WORKDAY(DATE(Leto,4,1)-1,28,Prazniki)&gt;EOMONTH(DATE(Leto,4,1),0),"",WORKDAY(DATE(Leto,4,1)-1,28,Prazniki))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IF(WORKDAY(DATE(Leto,4,1)-1,29,Prazniki)&gt;EOMONTH(DATE(Leto,4,1),0),"",WORKDAY(DATE(Leto,4,1)-1,29,Prazniki))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IF(WORKDAY(DATE(Leto,4,1)-1,30,Prazniki)&gt;EOMONTH(DATE(Leto,4,1),0),"",WORKDAY(DATE(Leto,4,1)-1,30,Prazniki))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IF(WORKDAY(DATE(Leto,4,1)-1,31,Prazniki)&gt;EOMONTH(DATE(Leto,4,1),0),"",WORKDAY(DATE(Leto,4,1)-1,31,Prazniki))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april." errorStyle="stop" errorTitle="Datum" operator="between" showDropDown="false" showErrorMessage="true" showInputMessage="false" sqref="B10:B40" type="date">
      <formula1>DATE(Leto,4,1)</formula1>
      <formula2>EOMONTH(DATE(Leto,4,1),0)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INDEX(KmCene,MATCH(DATE(Leto,5,1),KmDatumi,1))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NETWORKDAYS(DATE(Leto,5,1),EOMONTH(DATE(Leto,5,1),0),Prazniki)</f>
        <v>20</v>
      </c>
    </row>
    <row r="5" customFormat="false" ht="15" hidden="false" customHeight="false" outlineLevel="0" collapsed="false">
      <c r="B5" s="38" t="n">
        <f aca="false">DATE(Leto,5,1)</f>
        <v>46143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IF(WORKDAY(DATE(Leto,5,1)-1,1,Prazniki)&gt;EOMONTH(DATE(Leto,5,1),0),"",WORKDAY(DATE(Leto,5,1)-1,1,Prazniki))</f>
        <v>46146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IF(WORKDAY(DATE(Leto,5,1)-1,2,Prazniki)&gt;EOMONTH(DATE(Leto,5,1),0),"",WORKDAY(DATE(Leto,5,1)-1,2,Prazniki))</f>
        <v>46147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IF(WORKDAY(DATE(Leto,5,1)-1,3,Prazniki)&gt;EOMONTH(DATE(Leto,5,1),0),"",WORKDAY(DATE(Leto,5,1)-1,3,Prazniki))</f>
        <v>46148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IF(WORKDAY(DATE(Leto,5,1)-1,4,Prazniki)&gt;EOMONTH(DATE(Leto,5,1),0),"",WORKDAY(DATE(Leto,5,1)-1,4,Prazniki))</f>
        <v>46149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IF(WORKDAY(DATE(Leto,5,1)-1,5,Prazniki)&gt;EOMONTH(DATE(Leto,5,1),0),"",WORKDAY(DATE(Leto,5,1)-1,5,Prazniki))</f>
        <v>46150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IF(WORKDAY(DATE(Leto,5,1)-1,6,Prazniki)&gt;EOMONTH(DATE(Leto,5,1),0),"",WORKDAY(DATE(Leto,5,1)-1,6,Prazniki))</f>
        <v>46153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IF(WORKDAY(DATE(Leto,5,1)-1,7,Prazniki)&gt;EOMONTH(DATE(Leto,5,1),0),"",WORKDAY(DATE(Leto,5,1)-1,7,Prazniki))</f>
        <v>46154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IF(WORKDAY(DATE(Leto,5,1)-1,8,Prazniki)&gt;EOMONTH(DATE(Leto,5,1),0),"",WORKDAY(DATE(Leto,5,1)-1,8,Prazniki))</f>
        <v>46155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IF(WORKDAY(DATE(Leto,5,1)-1,9,Prazniki)&gt;EOMONTH(DATE(Leto,5,1),0),"",WORKDAY(DATE(Leto,5,1)-1,9,Prazniki))</f>
        <v>46156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IF(WORKDAY(DATE(Leto,5,1)-1,10,Prazniki)&gt;EOMONTH(DATE(Leto,5,1),0),"",WORKDAY(DATE(Leto,5,1)-1,10,Prazniki))</f>
        <v>46157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IF(WORKDAY(DATE(Leto,5,1)-1,11,Prazniki)&gt;EOMONTH(DATE(Leto,5,1),0),"",WORKDAY(DATE(Leto,5,1)-1,11,Prazniki))</f>
        <v>46160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IF(WORKDAY(DATE(Leto,5,1)-1,12,Prazniki)&gt;EOMONTH(DATE(Leto,5,1),0),"",WORKDAY(DATE(Leto,5,1)-1,12,Prazniki))</f>
        <v>46161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IF(WORKDAY(DATE(Leto,5,1)-1,13,Prazniki)&gt;EOMONTH(DATE(Leto,5,1),0),"",WORKDAY(DATE(Leto,5,1)-1,13,Prazniki))</f>
        <v>46162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IF(WORKDAY(DATE(Leto,5,1)-1,14,Prazniki)&gt;EOMONTH(DATE(Leto,5,1),0),"",WORKDAY(DATE(Leto,5,1)-1,14,Prazniki))</f>
        <v>46163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IF(WORKDAY(DATE(Leto,5,1)-1,15,Prazniki)&gt;EOMONTH(DATE(Leto,5,1),0),"",WORKDAY(DATE(Leto,5,1)-1,15,Prazniki))</f>
        <v>46164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IF(WORKDAY(DATE(Leto,5,1)-1,16,Prazniki)&gt;EOMONTH(DATE(Leto,5,1),0),"",WORKDAY(DATE(Leto,5,1)-1,16,Prazniki))</f>
        <v>46167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IF(WORKDAY(DATE(Leto,5,1)-1,17,Prazniki)&gt;EOMONTH(DATE(Leto,5,1),0),"",WORKDAY(DATE(Leto,5,1)-1,17,Prazniki))</f>
        <v>46168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IF(WORKDAY(DATE(Leto,5,1)-1,18,Prazniki)&gt;EOMONTH(DATE(Leto,5,1),0),"",WORKDAY(DATE(Leto,5,1)-1,18,Prazniki))</f>
        <v>46169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IF(WORKDAY(DATE(Leto,5,1)-1,19,Prazniki)&gt;EOMONTH(DATE(Leto,5,1),0),"",WORKDAY(DATE(Leto,5,1)-1,19,Prazniki))</f>
        <v>46170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IF(WORKDAY(DATE(Leto,5,1)-1,20,Prazniki)&gt;EOMONTH(DATE(Leto,5,1),0),"",WORKDAY(DATE(Leto,5,1)-1,20,Prazniki))</f>
        <v>46171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str">
        <f aca="false">IF(WORKDAY(DATE(Leto,5,1)-1,21,Prazniki)&gt;EOMONTH(DATE(Leto,5,1),0),"",WORKDAY(DATE(Leto,5,1)-1,21,Prazniki))</f>
        <v/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IF(WORKDAY(DATE(Leto,5,1)-1,22,Prazniki)&gt;EOMONTH(DATE(Leto,5,1),0),"",WORKDAY(DATE(Leto,5,1)-1,22,Prazniki))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IF(WORKDAY(DATE(Leto,5,1)-1,23,Prazniki)&gt;EOMONTH(DATE(Leto,5,1),0),"",WORKDAY(DATE(Leto,5,1)-1,23,Prazniki))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IF(WORKDAY(DATE(Leto,5,1)-1,24,Prazniki)&gt;EOMONTH(DATE(Leto,5,1),0),"",WORKDAY(DATE(Leto,5,1)-1,24,Prazniki))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IF(WORKDAY(DATE(Leto,5,1)-1,25,Prazniki)&gt;EOMONTH(DATE(Leto,5,1),0),"",WORKDAY(DATE(Leto,5,1)-1,25,Prazniki))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IF(WORKDAY(DATE(Leto,5,1)-1,26,Prazniki)&gt;EOMONTH(DATE(Leto,5,1),0),"",WORKDAY(DATE(Leto,5,1)-1,26,Prazniki))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IF(WORKDAY(DATE(Leto,5,1)-1,27,Prazniki)&gt;EOMONTH(DATE(Leto,5,1),0),"",WORKDAY(DATE(Leto,5,1)-1,27,Prazniki))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IF(WORKDAY(DATE(Leto,5,1)-1,28,Prazniki)&gt;EOMONTH(DATE(Leto,5,1),0),"",WORKDAY(DATE(Leto,5,1)-1,28,Prazniki))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IF(WORKDAY(DATE(Leto,5,1)-1,29,Prazniki)&gt;EOMONTH(DATE(Leto,5,1),0),"",WORKDAY(DATE(Leto,5,1)-1,29,Prazniki))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IF(WORKDAY(DATE(Leto,5,1)-1,30,Prazniki)&gt;EOMONTH(DATE(Leto,5,1),0),"",WORKDAY(DATE(Leto,5,1)-1,30,Prazniki))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IF(WORKDAY(DATE(Leto,5,1)-1,31,Prazniki)&gt;EOMONTH(DATE(Leto,5,1),0),"",WORKDAY(DATE(Leto,5,1)-1,31,Prazniki))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maj." errorStyle="stop" errorTitle="Datum" operator="between" showDropDown="false" showErrorMessage="true" showInputMessage="false" sqref="B10:B40" type="date">
      <formula1>DATE(Leto,5,1)</formula1>
      <formula2>EOMONTH(DATE(Leto,5,1),0)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INDEX(KmCene,MATCH(DATE(Leto,6,1),KmDatumi,1))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NETWORKDAYS(DATE(Leto,6,1),EOMONTH(DATE(Leto,6,1),0),Prazniki)</f>
        <v>21</v>
      </c>
    </row>
    <row r="5" customFormat="false" ht="15" hidden="false" customHeight="false" outlineLevel="0" collapsed="false">
      <c r="B5" s="38" t="n">
        <f aca="false">DATE(Leto,6,1)</f>
        <v>46174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IF(WORKDAY(DATE(Leto,6,1)-1,1,Prazniki)&gt;EOMONTH(DATE(Leto,6,1),0),"",WORKDAY(DATE(Leto,6,1)-1,1,Prazniki))</f>
        <v>46174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IF(WORKDAY(DATE(Leto,6,1)-1,2,Prazniki)&gt;EOMONTH(DATE(Leto,6,1),0),"",WORKDAY(DATE(Leto,6,1)-1,2,Prazniki))</f>
        <v>46175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IF(WORKDAY(DATE(Leto,6,1)-1,3,Prazniki)&gt;EOMONTH(DATE(Leto,6,1),0),"",WORKDAY(DATE(Leto,6,1)-1,3,Prazniki))</f>
        <v>46176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IF(WORKDAY(DATE(Leto,6,1)-1,4,Prazniki)&gt;EOMONTH(DATE(Leto,6,1),0),"",WORKDAY(DATE(Leto,6,1)-1,4,Prazniki))</f>
        <v>46177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IF(WORKDAY(DATE(Leto,6,1)-1,5,Prazniki)&gt;EOMONTH(DATE(Leto,6,1),0),"",WORKDAY(DATE(Leto,6,1)-1,5,Prazniki))</f>
        <v>46178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IF(WORKDAY(DATE(Leto,6,1)-1,6,Prazniki)&gt;EOMONTH(DATE(Leto,6,1),0),"",WORKDAY(DATE(Leto,6,1)-1,6,Prazniki))</f>
        <v>46181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IF(WORKDAY(DATE(Leto,6,1)-1,7,Prazniki)&gt;EOMONTH(DATE(Leto,6,1),0),"",WORKDAY(DATE(Leto,6,1)-1,7,Prazniki))</f>
        <v>46182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IF(WORKDAY(DATE(Leto,6,1)-1,8,Prazniki)&gt;EOMONTH(DATE(Leto,6,1),0),"",WORKDAY(DATE(Leto,6,1)-1,8,Prazniki))</f>
        <v>46183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IF(WORKDAY(DATE(Leto,6,1)-1,9,Prazniki)&gt;EOMONTH(DATE(Leto,6,1),0),"",WORKDAY(DATE(Leto,6,1)-1,9,Prazniki))</f>
        <v>46184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IF(WORKDAY(DATE(Leto,6,1)-1,10,Prazniki)&gt;EOMONTH(DATE(Leto,6,1),0),"",WORKDAY(DATE(Leto,6,1)-1,10,Prazniki))</f>
        <v>46185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IF(WORKDAY(DATE(Leto,6,1)-1,11,Prazniki)&gt;EOMONTH(DATE(Leto,6,1),0),"",WORKDAY(DATE(Leto,6,1)-1,11,Prazniki))</f>
        <v>46188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IF(WORKDAY(DATE(Leto,6,1)-1,12,Prazniki)&gt;EOMONTH(DATE(Leto,6,1),0),"",WORKDAY(DATE(Leto,6,1)-1,12,Prazniki))</f>
        <v>46189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IF(WORKDAY(DATE(Leto,6,1)-1,13,Prazniki)&gt;EOMONTH(DATE(Leto,6,1),0),"",WORKDAY(DATE(Leto,6,1)-1,13,Prazniki))</f>
        <v>46190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IF(WORKDAY(DATE(Leto,6,1)-1,14,Prazniki)&gt;EOMONTH(DATE(Leto,6,1),0),"",WORKDAY(DATE(Leto,6,1)-1,14,Prazniki))</f>
        <v>46191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IF(WORKDAY(DATE(Leto,6,1)-1,15,Prazniki)&gt;EOMONTH(DATE(Leto,6,1),0),"",WORKDAY(DATE(Leto,6,1)-1,15,Prazniki))</f>
        <v>46192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IF(WORKDAY(DATE(Leto,6,1)-1,16,Prazniki)&gt;EOMONTH(DATE(Leto,6,1),0),"",WORKDAY(DATE(Leto,6,1)-1,16,Prazniki))</f>
        <v>46195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IF(WORKDAY(DATE(Leto,6,1)-1,17,Prazniki)&gt;EOMONTH(DATE(Leto,6,1),0),"",WORKDAY(DATE(Leto,6,1)-1,17,Prazniki))</f>
        <v>46196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IF(WORKDAY(DATE(Leto,6,1)-1,18,Prazniki)&gt;EOMONTH(DATE(Leto,6,1),0),"",WORKDAY(DATE(Leto,6,1)-1,18,Prazniki))</f>
        <v>46197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IF(WORKDAY(DATE(Leto,6,1)-1,19,Prazniki)&gt;EOMONTH(DATE(Leto,6,1),0),"",WORKDAY(DATE(Leto,6,1)-1,19,Prazniki))</f>
        <v>46199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IF(WORKDAY(DATE(Leto,6,1)-1,20,Prazniki)&gt;EOMONTH(DATE(Leto,6,1),0),"",WORKDAY(DATE(Leto,6,1)-1,20,Prazniki))</f>
        <v>46202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IF(WORKDAY(DATE(Leto,6,1)-1,21,Prazniki)&gt;EOMONTH(DATE(Leto,6,1),0),"",WORKDAY(DATE(Leto,6,1)-1,21,Prazniki))</f>
        <v>46203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IF(WORKDAY(DATE(Leto,6,1)-1,22,Prazniki)&gt;EOMONTH(DATE(Leto,6,1),0),"",WORKDAY(DATE(Leto,6,1)-1,22,Prazniki))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IF(WORKDAY(DATE(Leto,6,1)-1,23,Prazniki)&gt;EOMONTH(DATE(Leto,6,1),0),"",WORKDAY(DATE(Leto,6,1)-1,23,Prazniki))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IF(WORKDAY(DATE(Leto,6,1)-1,24,Prazniki)&gt;EOMONTH(DATE(Leto,6,1),0),"",WORKDAY(DATE(Leto,6,1)-1,24,Prazniki))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IF(WORKDAY(DATE(Leto,6,1)-1,25,Prazniki)&gt;EOMONTH(DATE(Leto,6,1),0),"",WORKDAY(DATE(Leto,6,1)-1,25,Prazniki))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IF(WORKDAY(DATE(Leto,6,1)-1,26,Prazniki)&gt;EOMONTH(DATE(Leto,6,1),0),"",WORKDAY(DATE(Leto,6,1)-1,26,Prazniki))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IF(WORKDAY(DATE(Leto,6,1)-1,27,Prazniki)&gt;EOMONTH(DATE(Leto,6,1),0),"",WORKDAY(DATE(Leto,6,1)-1,27,Prazniki))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IF(WORKDAY(DATE(Leto,6,1)-1,28,Prazniki)&gt;EOMONTH(DATE(Leto,6,1),0),"",WORKDAY(DATE(Leto,6,1)-1,28,Prazniki))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IF(WORKDAY(DATE(Leto,6,1)-1,29,Prazniki)&gt;EOMONTH(DATE(Leto,6,1),0),"",WORKDAY(DATE(Leto,6,1)-1,29,Prazniki))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IF(WORKDAY(DATE(Leto,6,1)-1,30,Prazniki)&gt;EOMONTH(DATE(Leto,6,1),0),"",WORKDAY(DATE(Leto,6,1)-1,30,Prazniki))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IF(WORKDAY(DATE(Leto,6,1)-1,31,Prazniki)&gt;EOMONTH(DATE(Leto,6,1),0),"",WORKDAY(DATE(Leto,6,1)-1,31,Prazniki))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junij." errorStyle="stop" errorTitle="Datum" operator="between" showDropDown="false" showErrorMessage="true" showInputMessage="false" sqref="B10:B40" type="date">
      <formula1>DATE(Leto,6,1)</formula1>
      <formula2>EOMONTH(DATE(Leto,6,1),0)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INDEX(KmCene,MATCH(DATE(Leto,7,1),KmDatumi,1))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NETWORKDAYS(DATE(Leto,7,1),EOMONTH(DATE(Leto,7,1),0),Prazniki)</f>
        <v>23</v>
      </c>
    </row>
    <row r="5" customFormat="false" ht="15" hidden="false" customHeight="false" outlineLevel="0" collapsed="false">
      <c r="B5" s="38" t="n">
        <f aca="false">DATE(Leto,7,1)</f>
        <v>46204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IF(WORKDAY(DATE(Leto,7,1)-1,1,Prazniki)&gt;EOMONTH(DATE(Leto,7,1),0),"",WORKDAY(DATE(Leto,7,1)-1,1,Prazniki))</f>
        <v>46204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IF(WORKDAY(DATE(Leto,7,1)-1,2,Prazniki)&gt;EOMONTH(DATE(Leto,7,1),0),"",WORKDAY(DATE(Leto,7,1)-1,2,Prazniki))</f>
        <v>46205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IF(WORKDAY(DATE(Leto,7,1)-1,3,Prazniki)&gt;EOMONTH(DATE(Leto,7,1),0),"",WORKDAY(DATE(Leto,7,1)-1,3,Prazniki))</f>
        <v>46206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IF(WORKDAY(DATE(Leto,7,1)-1,4,Prazniki)&gt;EOMONTH(DATE(Leto,7,1),0),"",WORKDAY(DATE(Leto,7,1)-1,4,Prazniki))</f>
        <v>46209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IF(WORKDAY(DATE(Leto,7,1)-1,5,Prazniki)&gt;EOMONTH(DATE(Leto,7,1),0),"",WORKDAY(DATE(Leto,7,1)-1,5,Prazniki))</f>
        <v>46210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IF(WORKDAY(DATE(Leto,7,1)-1,6,Prazniki)&gt;EOMONTH(DATE(Leto,7,1),0),"",WORKDAY(DATE(Leto,7,1)-1,6,Prazniki))</f>
        <v>46211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IF(WORKDAY(DATE(Leto,7,1)-1,7,Prazniki)&gt;EOMONTH(DATE(Leto,7,1),0),"",WORKDAY(DATE(Leto,7,1)-1,7,Prazniki))</f>
        <v>46212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IF(WORKDAY(DATE(Leto,7,1)-1,8,Prazniki)&gt;EOMONTH(DATE(Leto,7,1),0),"",WORKDAY(DATE(Leto,7,1)-1,8,Prazniki))</f>
        <v>46213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IF(WORKDAY(DATE(Leto,7,1)-1,9,Prazniki)&gt;EOMONTH(DATE(Leto,7,1),0),"",WORKDAY(DATE(Leto,7,1)-1,9,Prazniki))</f>
        <v>46216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IF(WORKDAY(DATE(Leto,7,1)-1,10,Prazniki)&gt;EOMONTH(DATE(Leto,7,1),0),"",WORKDAY(DATE(Leto,7,1)-1,10,Prazniki))</f>
        <v>46217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IF(WORKDAY(DATE(Leto,7,1)-1,11,Prazniki)&gt;EOMONTH(DATE(Leto,7,1),0),"",WORKDAY(DATE(Leto,7,1)-1,11,Prazniki))</f>
        <v>46218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IF(WORKDAY(DATE(Leto,7,1)-1,12,Prazniki)&gt;EOMONTH(DATE(Leto,7,1),0),"",WORKDAY(DATE(Leto,7,1)-1,12,Prazniki))</f>
        <v>46219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IF(WORKDAY(DATE(Leto,7,1)-1,13,Prazniki)&gt;EOMONTH(DATE(Leto,7,1),0),"",WORKDAY(DATE(Leto,7,1)-1,13,Prazniki))</f>
        <v>46220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IF(WORKDAY(DATE(Leto,7,1)-1,14,Prazniki)&gt;EOMONTH(DATE(Leto,7,1),0),"",WORKDAY(DATE(Leto,7,1)-1,14,Prazniki))</f>
        <v>46223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IF(WORKDAY(DATE(Leto,7,1)-1,15,Prazniki)&gt;EOMONTH(DATE(Leto,7,1),0),"",WORKDAY(DATE(Leto,7,1)-1,15,Prazniki))</f>
        <v>46224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IF(WORKDAY(DATE(Leto,7,1)-1,16,Prazniki)&gt;EOMONTH(DATE(Leto,7,1),0),"",WORKDAY(DATE(Leto,7,1)-1,16,Prazniki))</f>
        <v>46225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IF(WORKDAY(DATE(Leto,7,1)-1,17,Prazniki)&gt;EOMONTH(DATE(Leto,7,1),0),"",WORKDAY(DATE(Leto,7,1)-1,17,Prazniki))</f>
        <v>46226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IF(WORKDAY(DATE(Leto,7,1)-1,18,Prazniki)&gt;EOMONTH(DATE(Leto,7,1),0),"",WORKDAY(DATE(Leto,7,1)-1,18,Prazniki))</f>
        <v>46227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IF(WORKDAY(DATE(Leto,7,1)-1,19,Prazniki)&gt;EOMONTH(DATE(Leto,7,1),0),"",WORKDAY(DATE(Leto,7,1)-1,19,Prazniki))</f>
        <v>46230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IF(WORKDAY(DATE(Leto,7,1)-1,20,Prazniki)&gt;EOMONTH(DATE(Leto,7,1),0),"",WORKDAY(DATE(Leto,7,1)-1,20,Prazniki))</f>
        <v>46231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IF(WORKDAY(DATE(Leto,7,1)-1,21,Prazniki)&gt;EOMONTH(DATE(Leto,7,1),0),"",WORKDAY(DATE(Leto,7,1)-1,21,Prazniki))</f>
        <v>46232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n">
        <f aca="false">IF(WORKDAY(DATE(Leto,7,1)-1,22,Prazniki)&gt;EOMONTH(DATE(Leto,7,1),0),"",WORKDAY(DATE(Leto,7,1)-1,22,Prazniki))</f>
        <v>46233</v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n">
        <f aca="false">IF(WORKDAY(DATE(Leto,7,1)-1,23,Prazniki)&gt;EOMONTH(DATE(Leto,7,1),0),"",WORKDAY(DATE(Leto,7,1)-1,23,Prazniki))</f>
        <v>46234</v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IF(WORKDAY(DATE(Leto,7,1)-1,24,Prazniki)&gt;EOMONTH(DATE(Leto,7,1),0),"",WORKDAY(DATE(Leto,7,1)-1,24,Prazniki))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IF(WORKDAY(DATE(Leto,7,1)-1,25,Prazniki)&gt;EOMONTH(DATE(Leto,7,1),0),"",WORKDAY(DATE(Leto,7,1)-1,25,Prazniki))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IF(WORKDAY(DATE(Leto,7,1)-1,26,Prazniki)&gt;EOMONTH(DATE(Leto,7,1),0),"",WORKDAY(DATE(Leto,7,1)-1,26,Prazniki))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IF(WORKDAY(DATE(Leto,7,1)-1,27,Prazniki)&gt;EOMONTH(DATE(Leto,7,1),0),"",WORKDAY(DATE(Leto,7,1)-1,27,Prazniki))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IF(WORKDAY(DATE(Leto,7,1)-1,28,Prazniki)&gt;EOMONTH(DATE(Leto,7,1),0),"",WORKDAY(DATE(Leto,7,1)-1,28,Prazniki))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IF(WORKDAY(DATE(Leto,7,1)-1,29,Prazniki)&gt;EOMONTH(DATE(Leto,7,1),0),"",WORKDAY(DATE(Leto,7,1)-1,29,Prazniki))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IF(WORKDAY(DATE(Leto,7,1)-1,30,Prazniki)&gt;EOMONTH(DATE(Leto,7,1),0),"",WORKDAY(DATE(Leto,7,1)-1,30,Prazniki))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IF(WORKDAY(DATE(Leto,7,1)-1,31,Prazniki)&gt;EOMONTH(DATE(Leto,7,1),0),"",WORKDAY(DATE(Leto,7,1)-1,31,Prazniki))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julij." errorStyle="stop" errorTitle="Datum" operator="between" showDropDown="false" showErrorMessage="true" showInputMessage="false" sqref="B10:B40" type="date">
      <formula1>DATE(Leto,7,1)</formula1>
      <formula2>EOMONTH(DATE(Leto,7,1),0)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INDEX(KmCene,MATCH(DATE(Leto,8,1),KmDatumi,1))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NETWORKDAYS(DATE(Leto,8,1),EOMONTH(DATE(Leto,8,1),0),Prazniki)</f>
        <v>21</v>
      </c>
    </row>
    <row r="5" customFormat="false" ht="15" hidden="false" customHeight="false" outlineLevel="0" collapsed="false">
      <c r="B5" s="38" t="n">
        <f aca="false">DATE(Leto,8,1)</f>
        <v>46235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IF(WORKDAY(DATE(Leto,8,1)-1,1,Prazniki)&gt;EOMONTH(DATE(Leto,8,1),0),"",WORKDAY(DATE(Leto,8,1)-1,1,Prazniki))</f>
        <v>46237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IF(WORKDAY(DATE(Leto,8,1)-1,2,Prazniki)&gt;EOMONTH(DATE(Leto,8,1),0),"",WORKDAY(DATE(Leto,8,1)-1,2,Prazniki))</f>
        <v>46238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IF(WORKDAY(DATE(Leto,8,1)-1,3,Prazniki)&gt;EOMONTH(DATE(Leto,8,1),0),"",WORKDAY(DATE(Leto,8,1)-1,3,Prazniki))</f>
        <v>46239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IF(WORKDAY(DATE(Leto,8,1)-1,4,Prazniki)&gt;EOMONTH(DATE(Leto,8,1),0),"",WORKDAY(DATE(Leto,8,1)-1,4,Prazniki))</f>
        <v>46240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IF(WORKDAY(DATE(Leto,8,1)-1,5,Prazniki)&gt;EOMONTH(DATE(Leto,8,1),0),"",WORKDAY(DATE(Leto,8,1)-1,5,Prazniki))</f>
        <v>46241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IF(WORKDAY(DATE(Leto,8,1)-1,6,Prazniki)&gt;EOMONTH(DATE(Leto,8,1),0),"",WORKDAY(DATE(Leto,8,1)-1,6,Prazniki))</f>
        <v>46244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IF(WORKDAY(DATE(Leto,8,1)-1,7,Prazniki)&gt;EOMONTH(DATE(Leto,8,1),0),"",WORKDAY(DATE(Leto,8,1)-1,7,Prazniki))</f>
        <v>46245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IF(WORKDAY(DATE(Leto,8,1)-1,8,Prazniki)&gt;EOMONTH(DATE(Leto,8,1),0),"",WORKDAY(DATE(Leto,8,1)-1,8,Prazniki))</f>
        <v>46246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IF(WORKDAY(DATE(Leto,8,1)-1,9,Prazniki)&gt;EOMONTH(DATE(Leto,8,1),0),"",WORKDAY(DATE(Leto,8,1)-1,9,Prazniki))</f>
        <v>46247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IF(WORKDAY(DATE(Leto,8,1)-1,10,Prazniki)&gt;EOMONTH(DATE(Leto,8,1),0),"",WORKDAY(DATE(Leto,8,1)-1,10,Prazniki))</f>
        <v>46248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IF(WORKDAY(DATE(Leto,8,1)-1,11,Prazniki)&gt;EOMONTH(DATE(Leto,8,1),0),"",WORKDAY(DATE(Leto,8,1)-1,11,Prazniki))</f>
        <v>46251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IF(WORKDAY(DATE(Leto,8,1)-1,12,Prazniki)&gt;EOMONTH(DATE(Leto,8,1),0),"",WORKDAY(DATE(Leto,8,1)-1,12,Prazniki))</f>
        <v>46252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IF(WORKDAY(DATE(Leto,8,1)-1,13,Prazniki)&gt;EOMONTH(DATE(Leto,8,1),0),"",WORKDAY(DATE(Leto,8,1)-1,13,Prazniki))</f>
        <v>46253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IF(WORKDAY(DATE(Leto,8,1)-1,14,Prazniki)&gt;EOMONTH(DATE(Leto,8,1),0),"",WORKDAY(DATE(Leto,8,1)-1,14,Prazniki))</f>
        <v>46254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IF(WORKDAY(DATE(Leto,8,1)-1,15,Prazniki)&gt;EOMONTH(DATE(Leto,8,1),0),"",WORKDAY(DATE(Leto,8,1)-1,15,Prazniki))</f>
        <v>46255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IF(WORKDAY(DATE(Leto,8,1)-1,16,Prazniki)&gt;EOMONTH(DATE(Leto,8,1),0),"",WORKDAY(DATE(Leto,8,1)-1,16,Prazniki))</f>
        <v>46258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IF(WORKDAY(DATE(Leto,8,1)-1,17,Prazniki)&gt;EOMONTH(DATE(Leto,8,1),0),"",WORKDAY(DATE(Leto,8,1)-1,17,Prazniki))</f>
        <v>46259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IF(WORKDAY(DATE(Leto,8,1)-1,18,Prazniki)&gt;EOMONTH(DATE(Leto,8,1),0),"",WORKDAY(DATE(Leto,8,1)-1,18,Prazniki))</f>
        <v>46260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IF(WORKDAY(DATE(Leto,8,1)-1,19,Prazniki)&gt;EOMONTH(DATE(Leto,8,1),0),"",WORKDAY(DATE(Leto,8,1)-1,19,Prazniki))</f>
        <v>46261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IF(WORKDAY(DATE(Leto,8,1)-1,20,Prazniki)&gt;EOMONTH(DATE(Leto,8,1),0),"",WORKDAY(DATE(Leto,8,1)-1,20,Prazniki))</f>
        <v>46262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IF(WORKDAY(DATE(Leto,8,1)-1,21,Prazniki)&gt;EOMONTH(DATE(Leto,8,1),0),"",WORKDAY(DATE(Leto,8,1)-1,21,Prazniki))</f>
        <v>46265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IF(WORKDAY(DATE(Leto,8,1)-1,22,Prazniki)&gt;EOMONTH(DATE(Leto,8,1),0),"",WORKDAY(DATE(Leto,8,1)-1,22,Prazniki))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IF(WORKDAY(DATE(Leto,8,1)-1,23,Prazniki)&gt;EOMONTH(DATE(Leto,8,1),0),"",WORKDAY(DATE(Leto,8,1)-1,23,Prazniki))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IF(WORKDAY(DATE(Leto,8,1)-1,24,Prazniki)&gt;EOMONTH(DATE(Leto,8,1),0),"",WORKDAY(DATE(Leto,8,1)-1,24,Prazniki))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IF(WORKDAY(DATE(Leto,8,1)-1,25,Prazniki)&gt;EOMONTH(DATE(Leto,8,1),0),"",WORKDAY(DATE(Leto,8,1)-1,25,Prazniki))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IF(WORKDAY(DATE(Leto,8,1)-1,26,Prazniki)&gt;EOMONTH(DATE(Leto,8,1),0),"",WORKDAY(DATE(Leto,8,1)-1,26,Prazniki))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IF(WORKDAY(DATE(Leto,8,1)-1,27,Prazniki)&gt;EOMONTH(DATE(Leto,8,1),0),"",WORKDAY(DATE(Leto,8,1)-1,27,Prazniki))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IF(WORKDAY(DATE(Leto,8,1)-1,28,Prazniki)&gt;EOMONTH(DATE(Leto,8,1),0),"",WORKDAY(DATE(Leto,8,1)-1,28,Prazniki))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IF(WORKDAY(DATE(Leto,8,1)-1,29,Prazniki)&gt;EOMONTH(DATE(Leto,8,1),0),"",WORKDAY(DATE(Leto,8,1)-1,29,Prazniki))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IF(WORKDAY(DATE(Leto,8,1)-1,30,Prazniki)&gt;EOMONTH(DATE(Leto,8,1),0),"",WORKDAY(DATE(Leto,8,1)-1,30,Prazniki))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IF(WORKDAY(DATE(Leto,8,1)-1,31,Prazniki)&gt;EOMONTH(DATE(Leto,8,1),0),"",WORKDAY(DATE(Leto,8,1)-1,31,Prazniki))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avgust." errorStyle="stop" errorTitle="Datum" operator="between" showDropDown="false" showErrorMessage="true" showInputMessage="false" sqref="B10:B40" type="date">
      <formula1>DATE(Leto,8,1)</formula1>
      <formula2>EOMONTH(DATE(Leto,8,1),0)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INDEX(KmCene,MATCH(DATE(Leto,9,1),KmDatumi,1))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NETWORKDAYS(DATE(Leto,9,1),EOMONTH(DATE(Leto,9,1),0),Prazniki)</f>
        <v>22</v>
      </c>
    </row>
    <row r="5" customFormat="false" ht="15" hidden="false" customHeight="false" outlineLevel="0" collapsed="false">
      <c r="B5" s="38" t="n">
        <f aca="false">DATE(Leto,9,1)</f>
        <v>46266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IF(WORKDAY(DATE(Leto,9,1)-1,1,Prazniki)&gt;EOMONTH(DATE(Leto,9,1),0),"",WORKDAY(DATE(Leto,9,1)-1,1,Prazniki))</f>
        <v>46266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IF(WORKDAY(DATE(Leto,9,1)-1,2,Prazniki)&gt;EOMONTH(DATE(Leto,9,1),0),"",WORKDAY(DATE(Leto,9,1)-1,2,Prazniki))</f>
        <v>46267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IF(WORKDAY(DATE(Leto,9,1)-1,3,Prazniki)&gt;EOMONTH(DATE(Leto,9,1),0),"",WORKDAY(DATE(Leto,9,1)-1,3,Prazniki))</f>
        <v>46268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IF(WORKDAY(DATE(Leto,9,1)-1,4,Prazniki)&gt;EOMONTH(DATE(Leto,9,1),0),"",WORKDAY(DATE(Leto,9,1)-1,4,Prazniki))</f>
        <v>46269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IF(WORKDAY(DATE(Leto,9,1)-1,5,Prazniki)&gt;EOMONTH(DATE(Leto,9,1),0),"",WORKDAY(DATE(Leto,9,1)-1,5,Prazniki))</f>
        <v>46272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IF(WORKDAY(DATE(Leto,9,1)-1,6,Prazniki)&gt;EOMONTH(DATE(Leto,9,1),0),"",WORKDAY(DATE(Leto,9,1)-1,6,Prazniki))</f>
        <v>46273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IF(WORKDAY(DATE(Leto,9,1)-1,7,Prazniki)&gt;EOMONTH(DATE(Leto,9,1),0),"",WORKDAY(DATE(Leto,9,1)-1,7,Prazniki))</f>
        <v>46274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IF(WORKDAY(DATE(Leto,9,1)-1,8,Prazniki)&gt;EOMONTH(DATE(Leto,9,1),0),"",WORKDAY(DATE(Leto,9,1)-1,8,Prazniki))</f>
        <v>46275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IF(WORKDAY(DATE(Leto,9,1)-1,9,Prazniki)&gt;EOMONTH(DATE(Leto,9,1),0),"",WORKDAY(DATE(Leto,9,1)-1,9,Prazniki))</f>
        <v>46276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IF(WORKDAY(DATE(Leto,9,1)-1,10,Prazniki)&gt;EOMONTH(DATE(Leto,9,1),0),"",WORKDAY(DATE(Leto,9,1)-1,10,Prazniki))</f>
        <v>46279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IF(WORKDAY(DATE(Leto,9,1)-1,11,Prazniki)&gt;EOMONTH(DATE(Leto,9,1),0),"",WORKDAY(DATE(Leto,9,1)-1,11,Prazniki))</f>
        <v>46280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IF(WORKDAY(DATE(Leto,9,1)-1,12,Prazniki)&gt;EOMONTH(DATE(Leto,9,1),0),"",WORKDAY(DATE(Leto,9,1)-1,12,Prazniki))</f>
        <v>46281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IF(WORKDAY(DATE(Leto,9,1)-1,13,Prazniki)&gt;EOMONTH(DATE(Leto,9,1),0),"",WORKDAY(DATE(Leto,9,1)-1,13,Prazniki))</f>
        <v>46282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IF(WORKDAY(DATE(Leto,9,1)-1,14,Prazniki)&gt;EOMONTH(DATE(Leto,9,1),0),"",WORKDAY(DATE(Leto,9,1)-1,14,Prazniki))</f>
        <v>46283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IF(WORKDAY(DATE(Leto,9,1)-1,15,Prazniki)&gt;EOMONTH(DATE(Leto,9,1),0),"",WORKDAY(DATE(Leto,9,1)-1,15,Prazniki))</f>
        <v>46286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IF(WORKDAY(DATE(Leto,9,1)-1,16,Prazniki)&gt;EOMONTH(DATE(Leto,9,1),0),"",WORKDAY(DATE(Leto,9,1)-1,16,Prazniki))</f>
        <v>46287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IF(WORKDAY(DATE(Leto,9,1)-1,17,Prazniki)&gt;EOMONTH(DATE(Leto,9,1),0),"",WORKDAY(DATE(Leto,9,1)-1,17,Prazniki))</f>
        <v>46288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IF(WORKDAY(DATE(Leto,9,1)-1,18,Prazniki)&gt;EOMONTH(DATE(Leto,9,1),0),"",WORKDAY(DATE(Leto,9,1)-1,18,Prazniki))</f>
        <v>46289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IF(WORKDAY(DATE(Leto,9,1)-1,19,Prazniki)&gt;EOMONTH(DATE(Leto,9,1),0),"",WORKDAY(DATE(Leto,9,1)-1,19,Prazniki))</f>
        <v>46290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IF(WORKDAY(DATE(Leto,9,1)-1,20,Prazniki)&gt;EOMONTH(DATE(Leto,9,1),0),"",WORKDAY(DATE(Leto,9,1)-1,20,Prazniki))</f>
        <v>46293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IF(WORKDAY(DATE(Leto,9,1)-1,21,Prazniki)&gt;EOMONTH(DATE(Leto,9,1),0),"",WORKDAY(DATE(Leto,9,1)-1,21,Prazniki))</f>
        <v>46294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n">
        <f aca="false">IF(WORKDAY(DATE(Leto,9,1)-1,22,Prazniki)&gt;EOMONTH(DATE(Leto,9,1),0),"",WORKDAY(DATE(Leto,9,1)-1,22,Prazniki))</f>
        <v>46295</v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IF(WORKDAY(DATE(Leto,9,1)-1,23,Prazniki)&gt;EOMONTH(DATE(Leto,9,1),0),"",WORKDAY(DATE(Leto,9,1)-1,23,Prazniki))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IF(WORKDAY(DATE(Leto,9,1)-1,24,Prazniki)&gt;EOMONTH(DATE(Leto,9,1),0),"",WORKDAY(DATE(Leto,9,1)-1,24,Prazniki))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IF(WORKDAY(DATE(Leto,9,1)-1,25,Prazniki)&gt;EOMONTH(DATE(Leto,9,1),0),"",WORKDAY(DATE(Leto,9,1)-1,25,Prazniki))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IF(WORKDAY(DATE(Leto,9,1)-1,26,Prazniki)&gt;EOMONTH(DATE(Leto,9,1),0),"",WORKDAY(DATE(Leto,9,1)-1,26,Prazniki))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IF(WORKDAY(DATE(Leto,9,1)-1,27,Prazniki)&gt;EOMONTH(DATE(Leto,9,1),0),"",WORKDAY(DATE(Leto,9,1)-1,27,Prazniki))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IF(WORKDAY(DATE(Leto,9,1)-1,28,Prazniki)&gt;EOMONTH(DATE(Leto,9,1),0),"",WORKDAY(DATE(Leto,9,1)-1,28,Prazniki))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IF(WORKDAY(DATE(Leto,9,1)-1,29,Prazniki)&gt;EOMONTH(DATE(Leto,9,1),0),"",WORKDAY(DATE(Leto,9,1)-1,29,Prazniki))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IF(WORKDAY(DATE(Leto,9,1)-1,30,Prazniki)&gt;EOMONTH(DATE(Leto,9,1),0),"",WORKDAY(DATE(Leto,9,1)-1,30,Prazniki))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IF(WORKDAY(DATE(Leto,9,1)-1,31,Prazniki)&gt;EOMONTH(DATE(Leto,9,1),0),"",WORKDAY(DATE(Leto,9,1)-1,31,Prazniki))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september." errorStyle="stop" errorTitle="Datum" operator="between" showDropDown="false" showErrorMessage="true" showInputMessage="false" sqref="B10:B40" type="date">
      <formula1>DATE(Leto,9,1)</formula1>
      <formula2>EOMONTH(DATE(Leto,9,1),0)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INDEX(KmCene,MATCH(DATE(Leto,10,1),KmDatumi,1))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NETWORKDAYS(DATE(Leto,10,1),EOMONTH(DATE(Leto,10,1),0),Prazniki)</f>
        <v>22</v>
      </c>
    </row>
    <row r="5" customFormat="false" ht="15" hidden="false" customHeight="false" outlineLevel="0" collapsed="false">
      <c r="B5" s="38" t="n">
        <f aca="false">DATE(Leto,10,1)</f>
        <v>46296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IF(WORKDAY(DATE(Leto,10,1)-1,1,Prazniki)&gt;EOMONTH(DATE(Leto,10,1),0),"",WORKDAY(DATE(Leto,10,1)-1,1,Prazniki))</f>
        <v>46296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IF(WORKDAY(DATE(Leto,10,1)-1,2,Prazniki)&gt;EOMONTH(DATE(Leto,10,1),0),"",WORKDAY(DATE(Leto,10,1)-1,2,Prazniki))</f>
        <v>46297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IF(WORKDAY(DATE(Leto,10,1)-1,3,Prazniki)&gt;EOMONTH(DATE(Leto,10,1),0),"",WORKDAY(DATE(Leto,10,1)-1,3,Prazniki))</f>
        <v>46300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IF(WORKDAY(DATE(Leto,10,1)-1,4,Prazniki)&gt;EOMONTH(DATE(Leto,10,1),0),"",WORKDAY(DATE(Leto,10,1)-1,4,Prazniki))</f>
        <v>46301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IF(WORKDAY(DATE(Leto,10,1)-1,5,Prazniki)&gt;EOMONTH(DATE(Leto,10,1),0),"",WORKDAY(DATE(Leto,10,1)-1,5,Prazniki))</f>
        <v>46302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IF(WORKDAY(DATE(Leto,10,1)-1,6,Prazniki)&gt;EOMONTH(DATE(Leto,10,1),0),"",WORKDAY(DATE(Leto,10,1)-1,6,Prazniki))</f>
        <v>46303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IF(WORKDAY(DATE(Leto,10,1)-1,7,Prazniki)&gt;EOMONTH(DATE(Leto,10,1),0),"",WORKDAY(DATE(Leto,10,1)-1,7,Prazniki))</f>
        <v>46304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IF(WORKDAY(DATE(Leto,10,1)-1,8,Prazniki)&gt;EOMONTH(DATE(Leto,10,1),0),"",WORKDAY(DATE(Leto,10,1)-1,8,Prazniki))</f>
        <v>46307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IF(WORKDAY(DATE(Leto,10,1)-1,9,Prazniki)&gt;EOMONTH(DATE(Leto,10,1),0),"",WORKDAY(DATE(Leto,10,1)-1,9,Prazniki))</f>
        <v>46308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IF(WORKDAY(DATE(Leto,10,1)-1,10,Prazniki)&gt;EOMONTH(DATE(Leto,10,1),0),"",WORKDAY(DATE(Leto,10,1)-1,10,Prazniki))</f>
        <v>46309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IF(WORKDAY(DATE(Leto,10,1)-1,11,Prazniki)&gt;EOMONTH(DATE(Leto,10,1),0),"",WORKDAY(DATE(Leto,10,1)-1,11,Prazniki))</f>
        <v>46310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IF(WORKDAY(DATE(Leto,10,1)-1,12,Prazniki)&gt;EOMONTH(DATE(Leto,10,1),0),"",WORKDAY(DATE(Leto,10,1)-1,12,Prazniki))</f>
        <v>46311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IF(WORKDAY(DATE(Leto,10,1)-1,13,Prazniki)&gt;EOMONTH(DATE(Leto,10,1),0),"",WORKDAY(DATE(Leto,10,1)-1,13,Prazniki))</f>
        <v>46314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IF(WORKDAY(DATE(Leto,10,1)-1,14,Prazniki)&gt;EOMONTH(DATE(Leto,10,1),0),"",WORKDAY(DATE(Leto,10,1)-1,14,Prazniki))</f>
        <v>46315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IF(WORKDAY(DATE(Leto,10,1)-1,15,Prazniki)&gt;EOMONTH(DATE(Leto,10,1),0),"",WORKDAY(DATE(Leto,10,1)-1,15,Prazniki))</f>
        <v>46316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IF(WORKDAY(DATE(Leto,10,1)-1,16,Prazniki)&gt;EOMONTH(DATE(Leto,10,1),0),"",WORKDAY(DATE(Leto,10,1)-1,16,Prazniki))</f>
        <v>46317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IF(WORKDAY(DATE(Leto,10,1)-1,17,Prazniki)&gt;EOMONTH(DATE(Leto,10,1),0),"",WORKDAY(DATE(Leto,10,1)-1,17,Prazniki))</f>
        <v>46318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IF(WORKDAY(DATE(Leto,10,1)-1,18,Prazniki)&gt;EOMONTH(DATE(Leto,10,1),0),"",WORKDAY(DATE(Leto,10,1)-1,18,Prazniki))</f>
        <v>46321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IF(WORKDAY(DATE(Leto,10,1)-1,19,Prazniki)&gt;EOMONTH(DATE(Leto,10,1),0),"",WORKDAY(DATE(Leto,10,1)-1,19,Prazniki))</f>
        <v>46322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IF(WORKDAY(DATE(Leto,10,1)-1,20,Prazniki)&gt;EOMONTH(DATE(Leto,10,1),0),"",WORKDAY(DATE(Leto,10,1)-1,20,Prazniki))</f>
        <v>46323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IF(WORKDAY(DATE(Leto,10,1)-1,21,Prazniki)&gt;EOMONTH(DATE(Leto,10,1),0),"",WORKDAY(DATE(Leto,10,1)-1,21,Prazniki))</f>
        <v>46324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n">
        <f aca="false">IF(WORKDAY(DATE(Leto,10,1)-1,22,Prazniki)&gt;EOMONTH(DATE(Leto,10,1),0),"",WORKDAY(DATE(Leto,10,1)-1,22,Prazniki))</f>
        <v>46325</v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IF(WORKDAY(DATE(Leto,10,1)-1,23,Prazniki)&gt;EOMONTH(DATE(Leto,10,1),0),"",WORKDAY(DATE(Leto,10,1)-1,23,Prazniki))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IF(WORKDAY(DATE(Leto,10,1)-1,24,Prazniki)&gt;EOMONTH(DATE(Leto,10,1),0),"",WORKDAY(DATE(Leto,10,1)-1,24,Prazniki))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IF(WORKDAY(DATE(Leto,10,1)-1,25,Prazniki)&gt;EOMONTH(DATE(Leto,10,1),0),"",WORKDAY(DATE(Leto,10,1)-1,25,Prazniki))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IF(WORKDAY(DATE(Leto,10,1)-1,26,Prazniki)&gt;EOMONTH(DATE(Leto,10,1),0),"",WORKDAY(DATE(Leto,10,1)-1,26,Prazniki))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IF(WORKDAY(DATE(Leto,10,1)-1,27,Prazniki)&gt;EOMONTH(DATE(Leto,10,1),0),"",WORKDAY(DATE(Leto,10,1)-1,27,Prazniki))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IF(WORKDAY(DATE(Leto,10,1)-1,28,Prazniki)&gt;EOMONTH(DATE(Leto,10,1),0),"",WORKDAY(DATE(Leto,10,1)-1,28,Prazniki))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IF(WORKDAY(DATE(Leto,10,1)-1,29,Prazniki)&gt;EOMONTH(DATE(Leto,10,1),0),"",WORKDAY(DATE(Leto,10,1)-1,29,Prazniki))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IF(WORKDAY(DATE(Leto,10,1)-1,30,Prazniki)&gt;EOMONTH(DATE(Leto,10,1),0),"",WORKDAY(DATE(Leto,10,1)-1,30,Prazniki))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IF(WORKDAY(DATE(Leto,10,1)-1,31,Prazniki)&gt;EOMONTH(DATE(Leto,10,1),0),"",WORKDAY(DATE(Leto,10,1)-1,31,Prazniki))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oktober." errorStyle="stop" errorTitle="Datum" operator="between" showDropDown="false" showErrorMessage="true" showInputMessage="false" sqref="B10:B40" type="date">
      <formula1>DATE(Leto,10,1)</formula1>
      <formula2>EOMONTH(DATE(Leto,10,1),0)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INDEX(KmCene,MATCH(DATE(Leto,11,1),KmDatumi,1))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NETWORKDAYS(DATE(Leto,11,1),EOMONTH(DATE(Leto,11,1),0),Prazniki)</f>
        <v>21</v>
      </c>
    </row>
    <row r="5" customFormat="false" ht="15" hidden="false" customHeight="false" outlineLevel="0" collapsed="false">
      <c r="B5" s="38" t="n">
        <f aca="false">DATE(Leto,11,1)</f>
        <v>46327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IF(WORKDAY(DATE(Leto,11,1)-1,1,Prazniki)&gt;EOMONTH(DATE(Leto,11,1),0),"",WORKDAY(DATE(Leto,11,1)-1,1,Prazniki))</f>
        <v>46328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IF(WORKDAY(DATE(Leto,11,1)-1,2,Prazniki)&gt;EOMONTH(DATE(Leto,11,1),0),"",WORKDAY(DATE(Leto,11,1)-1,2,Prazniki))</f>
        <v>46329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IF(WORKDAY(DATE(Leto,11,1)-1,3,Prazniki)&gt;EOMONTH(DATE(Leto,11,1),0),"",WORKDAY(DATE(Leto,11,1)-1,3,Prazniki))</f>
        <v>46330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IF(WORKDAY(DATE(Leto,11,1)-1,4,Prazniki)&gt;EOMONTH(DATE(Leto,11,1),0),"",WORKDAY(DATE(Leto,11,1)-1,4,Prazniki))</f>
        <v>46331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IF(WORKDAY(DATE(Leto,11,1)-1,5,Prazniki)&gt;EOMONTH(DATE(Leto,11,1),0),"",WORKDAY(DATE(Leto,11,1)-1,5,Prazniki))</f>
        <v>46332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IF(WORKDAY(DATE(Leto,11,1)-1,6,Prazniki)&gt;EOMONTH(DATE(Leto,11,1),0),"",WORKDAY(DATE(Leto,11,1)-1,6,Prazniki))</f>
        <v>46335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IF(WORKDAY(DATE(Leto,11,1)-1,7,Prazniki)&gt;EOMONTH(DATE(Leto,11,1),0),"",WORKDAY(DATE(Leto,11,1)-1,7,Prazniki))</f>
        <v>46336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IF(WORKDAY(DATE(Leto,11,1)-1,8,Prazniki)&gt;EOMONTH(DATE(Leto,11,1),0),"",WORKDAY(DATE(Leto,11,1)-1,8,Prazniki))</f>
        <v>46337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IF(WORKDAY(DATE(Leto,11,1)-1,9,Prazniki)&gt;EOMONTH(DATE(Leto,11,1),0),"",WORKDAY(DATE(Leto,11,1)-1,9,Prazniki))</f>
        <v>46338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IF(WORKDAY(DATE(Leto,11,1)-1,10,Prazniki)&gt;EOMONTH(DATE(Leto,11,1),0),"",WORKDAY(DATE(Leto,11,1)-1,10,Prazniki))</f>
        <v>46339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IF(WORKDAY(DATE(Leto,11,1)-1,11,Prazniki)&gt;EOMONTH(DATE(Leto,11,1),0),"",WORKDAY(DATE(Leto,11,1)-1,11,Prazniki))</f>
        <v>46342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IF(WORKDAY(DATE(Leto,11,1)-1,12,Prazniki)&gt;EOMONTH(DATE(Leto,11,1),0),"",WORKDAY(DATE(Leto,11,1)-1,12,Prazniki))</f>
        <v>46343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IF(WORKDAY(DATE(Leto,11,1)-1,13,Prazniki)&gt;EOMONTH(DATE(Leto,11,1),0),"",WORKDAY(DATE(Leto,11,1)-1,13,Prazniki))</f>
        <v>46344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IF(WORKDAY(DATE(Leto,11,1)-1,14,Prazniki)&gt;EOMONTH(DATE(Leto,11,1),0),"",WORKDAY(DATE(Leto,11,1)-1,14,Prazniki))</f>
        <v>46345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IF(WORKDAY(DATE(Leto,11,1)-1,15,Prazniki)&gt;EOMONTH(DATE(Leto,11,1),0),"",WORKDAY(DATE(Leto,11,1)-1,15,Prazniki))</f>
        <v>46346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IF(WORKDAY(DATE(Leto,11,1)-1,16,Prazniki)&gt;EOMONTH(DATE(Leto,11,1),0),"",WORKDAY(DATE(Leto,11,1)-1,16,Prazniki))</f>
        <v>46349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IF(WORKDAY(DATE(Leto,11,1)-1,17,Prazniki)&gt;EOMONTH(DATE(Leto,11,1),0),"",WORKDAY(DATE(Leto,11,1)-1,17,Prazniki))</f>
        <v>46350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IF(WORKDAY(DATE(Leto,11,1)-1,18,Prazniki)&gt;EOMONTH(DATE(Leto,11,1),0),"",WORKDAY(DATE(Leto,11,1)-1,18,Prazniki))</f>
        <v>46351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IF(WORKDAY(DATE(Leto,11,1)-1,19,Prazniki)&gt;EOMONTH(DATE(Leto,11,1),0),"",WORKDAY(DATE(Leto,11,1)-1,19,Prazniki))</f>
        <v>46352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IF(WORKDAY(DATE(Leto,11,1)-1,20,Prazniki)&gt;EOMONTH(DATE(Leto,11,1),0),"",WORKDAY(DATE(Leto,11,1)-1,20,Prazniki))</f>
        <v>46353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IF(WORKDAY(DATE(Leto,11,1)-1,21,Prazniki)&gt;EOMONTH(DATE(Leto,11,1),0),"",WORKDAY(DATE(Leto,11,1)-1,21,Prazniki))</f>
        <v>46356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str">
        <f aca="false">IF(WORKDAY(DATE(Leto,11,1)-1,22,Prazniki)&gt;EOMONTH(DATE(Leto,11,1),0),"",WORKDAY(DATE(Leto,11,1)-1,22,Prazniki))</f>
        <v/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IF(WORKDAY(DATE(Leto,11,1)-1,23,Prazniki)&gt;EOMONTH(DATE(Leto,11,1),0),"",WORKDAY(DATE(Leto,11,1)-1,23,Prazniki))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IF(WORKDAY(DATE(Leto,11,1)-1,24,Prazniki)&gt;EOMONTH(DATE(Leto,11,1),0),"",WORKDAY(DATE(Leto,11,1)-1,24,Prazniki))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IF(WORKDAY(DATE(Leto,11,1)-1,25,Prazniki)&gt;EOMONTH(DATE(Leto,11,1),0),"",WORKDAY(DATE(Leto,11,1)-1,25,Prazniki))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IF(WORKDAY(DATE(Leto,11,1)-1,26,Prazniki)&gt;EOMONTH(DATE(Leto,11,1),0),"",WORKDAY(DATE(Leto,11,1)-1,26,Prazniki))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IF(WORKDAY(DATE(Leto,11,1)-1,27,Prazniki)&gt;EOMONTH(DATE(Leto,11,1),0),"",WORKDAY(DATE(Leto,11,1)-1,27,Prazniki))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IF(WORKDAY(DATE(Leto,11,1)-1,28,Prazniki)&gt;EOMONTH(DATE(Leto,11,1),0),"",WORKDAY(DATE(Leto,11,1)-1,28,Prazniki))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IF(WORKDAY(DATE(Leto,11,1)-1,29,Prazniki)&gt;EOMONTH(DATE(Leto,11,1),0),"",WORKDAY(DATE(Leto,11,1)-1,29,Prazniki))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IF(WORKDAY(DATE(Leto,11,1)-1,30,Prazniki)&gt;EOMONTH(DATE(Leto,11,1),0),"",WORKDAY(DATE(Leto,11,1)-1,30,Prazniki))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IF(WORKDAY(DATE(Leto,11,1)-1,31,Prazniki)&gt;EOMONTH(DATE(Leto,11,1),0),"",WORKDAY(DATE(Leto,11,1)-1,31,Prazniki))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november." errorStyle="stop" errorTitle="Datum" operator="between" showDropDown="false" showErrorMessage="true" showInputMessage="false" sqref="B10:B40" type="date">
      <formula1>DATE(Leto,11,1)</formula1>
      <formula2>EOMONTH(DATE(Leto,11,1),0)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0" min="9" style="0" width="12"/>
  </cols>
  <sheetData>
    <row r="1" customFormat="false" ht="17.35" hidden="false" customHeight="false" outlineLevel="0" collapsed="false">
      <c r="B1" s="31" t="s">
        <v>82</v>
      </c>
      <c r="C1" s="31"/>
      <c r="D1" s="31"/>
      <c r="E1" s="31"/>
    </row>
    <row r="2" customFormat="false" ht="15" hidden="false" customHeight="false" outlineLevel="0" collapsed="false">
      <c r="I2" s="32" t="s">
        <v>83</v>
      </c>
      <c r="J2" s="32"/>
    </row>
    <row r="3" customFormat="false" ht="15" hidden="false" customHeight="false" outlineLevel="0" collapsed="false">
      <c r="B3" s="33" t="str">
        <f aca="false">Ime</f>
        <v>Ime Priimek</v>
      </c>
      <c r="C3" s="33"/>
      <c r="D3" s="33"/>
      <c r="I3" s="10" t="s">
        <v>19</v>
      </c>
      <c r="J3" s="34" t="n">
        <f aca="false">INDEX(KmCene,MATCH(DATE(Leto,12,1),KmDatumi,1))</f>
        <v>0.43</v>
      </c>
    </row>
    <row r="4" customFormat="false" ht="15" hidden="false" customHeight="false" outlineLevel="0" collapsed="false">
      <c r="B4" s="35" t="str">
        <f aca="false">DelovnoMesto</f>
        <v>Enota</v>
      </c>
      <c r="C4" s="35"/>
      <c r="D4" s="35"/>
      <c r="I4" s="36" t="s">
        <v>84</v>
      </c>
      <c r="J4" s="37" t="n">
        <f aca="false">NETWORKDAYS(DATE(Leto,12,1),EOMONTH(DATE(Leto,12,1),0),Prazniki)</f>
        <v>22</v>
      </c>
    </row>
    <row r="5" customFormat="false" ht="15" hidden="false" customHeight="false" outlineLevel="0" collapsed="false">
      <c r="B5" s="38" t="n">
        <f aca="false">DATE(Leto,12,1)</f>
        <v>46357</v>
      </c>
      <c r="C5" s="38"/>
    </row>
    <row r="6" customFormat="false" ht="15" hidden="false" customHeight="false" outlineLevel="0" collapsed="false">
      <c r="B6" s="35" t="str">
        <f aca="false">Enote</f>
        <v>PALČEK, KRIŽE, DETELJICA, LOM, KOVOR</v>
      </c>
      <c r="C6" s="35"/>
      <c r="D6" s="35"/>
    </row>
    <row r="9" customFormat="false" ht="33" hidden="false" customHeight="true" outlineLevel="0" collapsed="false">
      <c r="B9" s="39" t="s">
        <v>85</v>
      </c>
      <c r="C9" s="39" t="s">
        <v>86</v>
      </c>
      <c r="D9" s="39" t="s">
        <v>87</v>
      </c>
      <c r="E9" s="39" t="s">
        <v>88</v>
      </c>
      <c r="F9" s="39" t="s">
        <v>66</v>
      </c>
      <c r="G9" s="39" t="s">
        <v>89</v>
      </c>
    </row>
    <row r="10" customFormat="false" ht="18" hidden="false" customHeight="true" outlineLevel="0" collapsed="false">
      <c r="B10" s="40" t="n">
        <f aca="false">IF(WORKDAY(DATE(Leto,12,1)-1,1,Prazniki)&gt;EOMONTH(DATE(Leto,12,1),0),"",WORKDAY(DATE(Leto,12,1)-1,1,Prazniki))</f>
        <v>46357</v>
      </c>
      <c r="C10" s="41"/>
      <c r="D10" s="23"/>
      <c r="E10" s="42"/>
      <c r="F10" s="43" t="str">
        <f aca="false">IF(D10="","",IFERROR(INDEX(RelKm,MATCH(D10,RelNazivi,0))*IF(E10="ena smer",1,2),""))</f>
        <v/>
      </c>
      <c r="G10" s="44" t="str">
        <f aca="false">IF(F10="","",ROUND(F10*$J$3,2))</f>
        <v/>
      </c>
    </row>
    <row r="11" customFormat="false" ht="18" hidden="false" customHeight="true" outlineLevel="0" collapsed="false">
      <c r="B11" s="40" t="n">
        <f aca="false">IF(WORKDAY(DATE(Leto,12,1)-1,2,Prazniki)&gt;EOMONTH(DATE(Leto,12,1),0),"",WORKDAY(DATE(Leto,12,1)-1,2,Prazniki))</f>
        <v>46358</v>
      </c>
      <c r="C11" s="41"/>
      <c r="D11" s="23"/>
      <c r="E11" s="42"/>
      <c r="F11" s="43" t="str">
        <f aca="false">IF(D11="","",IFERROR(INDEX(RelKm,MATCH(D11,RelNazivi,0))*IF(E11="ena smer",1,2),""))</f>
        <v/>
      </c>
      <c r="G11" s="44" t="str">
        <f aca="false">IF(F11="","",ROUND(F11*$J$3,2))</f>
        <v/>
      </c>
    </row>
    <row r="12" customFormat="false" ht="18" hidden="false" customHeight="true" outlineLevel="0" collapsed="false">
      <c r="B12" s="40" t="n">
        <f aca="false">IF(WORKDAY(DATE(Leto,12,1)-1,3,Prazniki)&gt;EOMONTH(DATE(Leto,12,1),0),"",WORKDAY(DATE(Leto,12,1)-1,3,Prazniki))</f>
        <v>46359</v>
      </c>
      <c r="C12" s="41"/>
      <c r="D12" s="23"/>
      <c r="E12" s="42"/>
      <c r="F12" s="43" t="str">
        <f aca="false">IF(D12="","",IFERROR(INDEX(RelKm,MATCH(D12,RelNazivi,0))*IF(E12="ena smer",1,2),""))</f>
        <v/>
      </c>
      <c r="G12" s="44" t="str">
        <f aca="false">IF(F12="","",ROUND(F12*$J$3,2))</f>
        <v/>
      </c>
    </row>
    <row r="13" customFormat="false" ht="18" hidden="false" customHeight="true" outlineLevel="0" collapsed="false">
      <c r="B13" s="40" t="n">
        <f aca="false">IF(WORKDAY(DATE(Leto,12,1)-1,4,Prazniki)&gt;EOMONTH(DATE(Leto,12,1),0),"",WORKDAY(DATE(Leto,12,1)-1,4,Prazniki))</f>
        <v>46360</v>
      </c>
      <c r="C13" s="41"/>
      <c r="D13" s="23"/>
      <c r="E13" s="42"/>
      <c r="F13" s="43" t="str">
        <f aca="false">IF(D13="","",IFERROR(INDEX(RelKm,MATCH(D13,RelNazivi,0))*IF(E13="ena smer",1,2),""))</f>
        <v/>
      </c>
      <c r="G13" s="44" t="str">
        <f aca="false">IF(F13="","",ROUND(F13*$J$3,2))</f>
        <v/>
      </c>
    </row>
    <row r="14" customFormat="false" ht="18" hidden="false" customHeight="true" outlineLevel="0" collapsed="false">
      <c r="B14" s="40" t="n">
        <f aca="false">IF(WORKDAY(DATE(Leto,12,1)-1,5,Prazniki)&gt;EOMONTH(DATE(Leto,12,1),0),"",WORKDAY(DATE(Leto,12,1)-1,5,Prazniki))</f>
        <v>46363</v>
      </c>
      <c r="C14" s="41"/>
      <c r="D14" s="23"/>
      <c r="E14" s="42"/>
      <c r="F14" s="43" t="str">
        <f aca="false">IF(D14="","",IFERROR(INDEX(RelKm,MATCH(D14,RelNazivi,0))*IF(E14="ena smer",1,2),""))</f>
        <v/>
      </c>
      <c r="G14" s="44" t="str">
        <f aca="false">IF(F14="","",ROUND(F14*$J$3,2))</f>
        <v/>
      </c>
    </row>
    <row r="15" customFormat="false" ht="18" hidden="false" customHeight="true" outlineLevel="0" collapsed="false">
      <c r="B15" s="40" t="n">
        <f aca="false">IF(WORKDAY(DATE(Leto,12,1)-1,6,Prazniki)&gt;EOMONTH(DATE(Leto,12,1),0),"",WORKDAY(DATE(Leto,12,1)-1,6,Prazniki))</f>
        <v>46364</v>
      </c>
      <c r="C15" s="41"/>
      <c r="D15" s="23"/>
      <c r="E15" s="42"/>
      <c r="F15" s="43" t="str">
        <f aca="false">IF(D15="","",IFERROR(INDEX(RelKm,MATCH(D15,RelNazivi,0))*IF(E15="ena smer",1,2),""))</f>
        <v/>
      </c>
      <c r="G15" s="44" t="str">
        <f aca="false">IF(F15="","",ROUND(F15*$J$3,2))</f>
        <v/>
      </c>
    </row>
    <row r="16" customFormat="false" ht="18" hidden="false" customHeight="true" outlineLevel="0" collapsed="false">
      <c r="B16" s="40" t="n">
        <f aca="false">IF(WORKDAY(DATE(Leto,12,1)-1,7,Prazniki)&gt;EOMONTH(DATE(Leto,12,1),0),"",WORKDAY(DATE(Leto,12,1)-1,7,Prazniki))</f>
        <v>46365</v>
      </c>
      <c r="C16" s="41"/>
      <c r="D16" s="23"/>
      <c r="E16" s="42"/>
      <c r="F16" s="43" t="str">
        <f aca="false">IF(D16="","",IFERROR(INDEX(RelKm,MATCH(D16,RelNazivi,0))*IF(E16="ena smer",1,2),""))</f>
        <v/>
      </c>
      <c r="G16" s="44" t="str">
        <f aca="false">IF(F16="","",ROUND(F16*$J$3,2))</f>
        <v/>
      </c>
    </row>
    <row r="17" customFormat="false" ht="18" hidden="false" customHeight="true" outlineLevel="0" collapsed="false">
      <c r="B17" s="40" t="n">
        <f aca="false">IF(WORKDAY(DATE(Leto,12,1)-1,8,Prazniki)&gt;EOMONTH(DATE(Leto,12,1),0),"",WORKDAY(DATE(Leto,12,1)-1,8,Prazniki))</f>
        <v>46366</v>
      </c>
      <c r="C17" s="41"/>
      <c r="D17" s="23"/>
      <c r="E17" s="42"/>
      <c r="F17" s="43" t="str">
        <f aca="false">IF(D17="","",IFERROR(INDEX(RelKm,MATCH(D17,RelNazivi,0))*IF(E17="ena smer",1,2),""))</f>
        <v/>
      </c>
      <c r="G17" s="44" t="str">
        <f aca="false">IF(F17="","",ROUND(F17*$J$3,2))</f>
        <v/>
      </c>
    </row>
    <row r="18" customFormat="false" ht="18" hidden="false" customHeight="true" outlineLevel="0" collapsed="false">
      <c r="B18" s="40" t="n">
        <f aca="false">IF(WORKDAY(DATE(Leto,12,1)-1,9,Prazniki)&gt;EOMONTH(DATE(Leto,12,1),0),"",WORKDAY(DATE(Leto,12,1)-1,9,Prazniki))</f>
        <v>46367</v>
      </c>
      <c r="C18" s="41"/>
      <c r="D18" s="23"/>
      <c r="E18" s="42"/>
      <c r="F18" s="43" t="str">
        <f aca="false">IF(D18="","",IFERROR(INDEX(RelKm,MATCH(D18,RelNazivi,0))*IF(E18="ena smer",1,2),""))</f>
        <v/>
      </c>
      <c r="G18" s="44" t="str">
        <f aca="false">IF(F18="","",ROUND(F18*$J$3,2))</f>
        <v/>
      </c>
    </row>
    <row r="19" customFormat="false" ht="18" hidden="false" customHeight="true" outlineLevel="0" collapsed="false">
      <c r="B19" s="40" t="n">
        <f aca="false">IF(WORKDAY(DATE(Leto,12,1)-1,10,Prazniki)&gt;EOMONTH(DATE(Leto,12,1),0),"",WORKDAY(DATE(Leto,12,1)-1,10,Prazniki))</f>
        <v>46370</v>
      </c>
      <c r="C19" s="41"/>
      <c r="D19" s="23"/>
      <c r="E19" s="42"/>
      <c r="F19" s="43" t="str">
        <f aca="false">IF(D19="","",IFERROR(INDEX(RelKm,MATCH(D19,RelNazivi,0))*IF(E19="ena smer",1,2),""))</f>
        <v/>
      </c>
      <c r="G19" s="44" t="str">
        <f aca="false">IF(F19="","",ROUND(F19*$J$3,2))</f>
        <v/>
      </c>
    </row>
    <row r="20" customFormat="false" ht="18" hidden="false" customHeight="true" outlineLevel="0" collapsed="false">
      <c r="B20" s="40" t="n">
        <f aca="false">IF(WORKDAY(DATE(Leto,12,1)-1,11,Prazniki)&gt;EOMONTH(DATE(Leto,12,1),0),"",WORKDAY(DATE(Leto,12,1)-1,11,Prazniki))</f>
        <v>46371</v>
      </c>
      <c r="C20" s="41"/>
      <c r="D20" s="23"/>
      <c r="E20" s="42"/>
      <c r="F20" s="43" t="str">
        <f aca="false">IF(D20="","",IFERROR(INDEX(RelKm,MATCH(D20,RelNazivi,0))*IF(E20="ena smer",1,2),""))</f>
        <v/>
      </c>
      <c r="G20" s="44" t="str">
        <f aca="false">IF(F20="","",ROUND(F20*$J$3,2))</f>
        <v/>
      </c>
    </row>
    <row r="21" customFormat="false" ht="18" hidden="false" customHeight="true" outlineLevel="0" collapsed="false">
      <c r="B21" s="40" t="n">
        <f aca="false">IF(WORKDAY(DATE(Leto,12,1)-1,12,Prazniki)&gt;EOMONTH(DATE(Leto,12,1),0),"",WORKDAY(DATE(Leto,12,1)-1,12,Prazniki))</f>
        <v>46372</v>
      </c>
      <c r="C21" s="41"/>
      <c r="D21" s="23"/>
      <c r="E21" s="42"/>
      <c r="F21" s="43" t="str">
        <f aca="false">IF(D21="","",IFERROR(INDEX(RelKm,MATCH(D21,RelNazivi,0))*IF(E21="ena smer",1,2),""))</f>
        <v/>
      </c>
      <c r="G21" s="44" t="str">
        <f aca="false">IF(F21="","",ROUND(F21*$J$3,2))</f>
        <v/>
      </c>
    </row>
    <row r="22" customFormat="false" ht="18" hidden="false" customHeight="true" outlineLevel="0" collapsed="false">
      <c r="B22" s="40" t="n">
        <f aca="false">IF(WORKDAY(DATE(Leto,12,1)-1,13,Prazniki)&gt;EOMONTH(DATE(Leto,12,1),0),"",WORKDAY(DATE(Leto,12,1)-1,13,Prazniki))</f>
        <v>46373</v>
      </c>
      <c r="C22" s="41"/>
      <c r="D22" s="23"/>
      <c r="E22" s="42"/>
      <c r="F22" s="43" t="str">
        <f aca="false">IF(D22="","",IFERROR(INDEX(RelKm,MATCH(D22,RelNazivi,0))*IF(E22="ena smer",1,2),""))</f>
        <v/>
      </c>
      <c r="G22" s="44" t="str">
        <f aca="false">IF(F22="","",ROUND(F22*$J$3,2))</f>
        <v/>
      </c>
    </row>
    <row r="23" customFormat="false" ht="18" hidden="false" customHeight="true" outlineLevel="0" collapsed="false">
      <c r="B23" s="40" t="n">
        <f aca="false">IF(WORKDAY(DATE(Leto,12,1)-1,14,Prazniki)&gt;EOMONTH(DATE(Leto,12,1),0),"",WORKDAY(DATE(Leto,12,1)-1,14,Prazniki))</f>
        <v>46374</v>
      </c>
      <c r="C23" s="41"/>
      <c r="D23" s="23"/>
      <c r="E23" s="42"/>
      <c r="F23" s="43" t="str">
        <f aca="false">IF(D23="","",IFERROR(INDEX(RelKm,MATCH(D23,RelNazivi,0))*IF(E23="ena smer",1,2),""))</f>
        <v/>
      </c>
      <c r="G23" s="44" t="str">
        <f aca="false">IF(F23="","",ROUND(F23*$J$3,2))</f>
        <v/>
      </c>
    </row>
    <row r="24" customFormat="false" ht="18" hidden="false" customHeight="true" outlineLevel="0" collapsed="false">
      <c r="B24" s="40" t="n">
        <f aca="false">IF(WORKDAY(DATE(Leto,12,1)-1,15,Prazniki)&gt;EOMONTH(DATE(Leto,12,1),0),"",WORKDAY(DATE(Leto,12,1)-1,15,Prazniki))</f>
        <v>46377</v>
      </c>
      <c r="C24" s="41"/>
      <c r="D24" s="23"/>
      <c r="E24" s="42"/>
      <c r="F24" s="43" t="str">
        <f aca="false">IF(D24="","",IFERROR(INDEX(RelKm,MATCH(D24,RelNazivi,0))*IF(E24="ena smer",1,2),""))</f>
        <v/>
      </c>
      <c r="G24" s="44" t="str">
        <f aca="false">IF(F24="","",ROUND(F24*$J$3,2))</f>
        <v/>
      </c>
    </row>
    <row r="25" customFormat="false" ht="18" hidden="false" customHeight="true" outlineLevel="0" collapsed="false">
      <c r="B25" s="40" t="n">
        <f aca="false">IF(WORKDAY(DATE(Leto,12,1)-1,16,Prazniki)&gt;EOMONTH(DATE(Leto,12,1),0),"",WORKDAY(DATE(Leto,12,1)-1,16,Prazniki))</f>
        <v>46378</v>
      </c>
      <c r="C25" s="41"/>
      <c r="D25" s="23"/>
      <c r="E25" s="42"/>
      <c r="F25" s="43" t="str">
        <f aca="false">IF(D25="","",IFERROR(INDEX(RelKm,MATCH(D25,RelNazivi,0))*IF(E25="ena smer",1,2),""))</f>
        <v/>
      </c>
      <c r="G25" s="44" t="str">
        <f aca="false">IF(F25="","",ROUND(F25*$J$3,2))</f>
        <v/>
      </c>
    </row>
    <row r="26" customFormat="false" ht="18" hidden="false" customHeight="true" outlineLevel="0" collapsed="false">
      <c r="B26" s="40" t="n">
        <f aca="false">IF(WORKDAY(DATE(Leto,12,1)-1,17,Prazniki)&gt;EOMONTH(DATE(Leto,12,1),0),"",WORKDAY(DATE(Leto,12,1)-1,17,Prazniki))</f>
        <v>46379</v>
      </c>
      <c r="C26" s="41"/>
      <c r="D26" s="23"/>
      <c r="E26" s="42"/>
      <c r="F26" s="43" t="str">
        <f aca="false">IF(D26="","",IFERROR(INDEX(RelKm,MATCH(D26,RelNazivi,0))*IF(E26="ena smer",1,2),""))</f>
        <v/>
      </c>
      <c r="G26" s="44" t="str">
        <f aca="false">IF(F26="","",ROUND(F26*$J$3,2))</f>
        <v/>
      </c>
    </row>
    <row r="27" customFormat="false" ht="18" hidden="false" customHeight="true" outlineLevel="0" collapsed="false">
      <c r="B27" s="40" t="n">
        <f aca="false">IF(WORKDAY(DATE(Leto,12,1)-1,18,Prazniki)&gt;EOMONTH(DATE(Leto,12,1),0),"",WORKDAY(DATE(Leto,12,1)-1,18,Prazniki))</f>
        <v>46380</v>
      </c>
      <c r="C27" s="41"/>
      <c r="D27" s="23"/>
      <c r="E27" s="42"/>
      <c r="F27" s="43" t="str">
        <f aca="false">IF(D27="","",IFERROR(INDEX(RelKm,MATCH(D27,RelNazivi,0))*IF(E27="ena smer",1,2),""))</f>
        <v/>
      </c>
      <c r="G27" s="44" t="str">
        <f aca="false">IF(F27="","",ROUND(F27*$J$3,2))</f>
        <v/>
      </c>
    </row>
    <row r="28" customFormat="false" ht="18" hidden="false" customHeight="true" outlineLevel="0" collapsed="false">
      <c r="B28" s="40" t="n">
        <f aca="false">IF(WORKDAY(DATE(Leto,12,1)-1,19,Prazniki)&gt;EOMONTH(DATE(Leto,12,1),0),"",WORKDAY(DATE(Leto,12,1)-1,19,Prazniki))</f>
        <v>46384</v>
      </c>
      <c r="C28" s="41"/>
      <c r="D28" s="23"/>
      <c r="E28" s="42"/>
      <c r="F28" s="43" t="str">
        <f aca="false">IF(D28="","",IFERROR(INDEX(RelKm,MATCH(D28,RelNazivi,0))*IF(E28="ena smer",1,2),""))</f>
        <v/>
      </c>
      <c r="G28" s="44" t="str">
        <f aca="false">IF(F28="","",ROUND(F28*$J$3,2))</f>
        <v/>
      </c>
    </row>
    <row r="29" customFormat="false" ht="18" hidden="false" customHeight="true" outlineLevel="0" collapsed="false">
      <c r="B29" s="40" t="n">
        <f aca="false">IF(WORKDAY(DATE(Leto,12,1)-1,20,Prazniki)&gt;EOMONTH(DATE(Leto,12,1),0),"",WORKDAY(DATE(Leto,12,1)-1,20,Prazniki))</f>
        <v>46385</v>
      </c>
      <c r="C29" s="41"/>
      <c r="D29" s="23"/>
      <c r="E29" s="42"/>
      <c r="F29" s="43" t="str">
        <f aca="false">IF(D29="","",IFERROR(INDEX(RelKm,MATCH(D29,RelNazivi,0))*IF(E29="ena smer",1,2),""))</f>
        <v/>
      </c>
      <c r="G29" s="44" t="str">
        <f aca="false">IF(F29="","",ROUND(F29*$J$3,2))</f>
        <v/>
      </c>
    </row>
    <row r="30" customFormat="false" ht="18" hidden="false" customHeight="true" outlineLevel="0" collapsed="false">
      <c r="B30" s="40" t="n">
        <f aca="false">IF(WORKDAY(DATE(Leto,12,1)-1,21,Prazniki)&gt;EOMONTH(DATE(Leto,12,1),0),"",WORKDAY(DATE(Leto,12,1)-1,21,Prazniki))</f>
        <v>46386</v>
      </c>
      <c r="C30" s="41"/>
      <c r="D30" s="23"/>
      <c r="E30" s="42"/>
      <c r="F30" s="43" t="str">
        <f aca="false">IF(D30="","",IFERROR(INDEX(RelKm,MATCH(D30,RelNazivi,0))*IF(E30="ena smer",1,2),""))</f>
        <v/>
      </c>
      <c r="G30" s="44" t="str">
        <f aca="false">IF(F30="","",ROUND(F30*$J$3,2))</f>
        <v/>
      </c>
    </row>
    <row r="31" customFormat="false" ht="18" hidden="false" customHeight="true" outlineLevel="0" collapsed="false">
      <c r="B31" s="40" t="n">
        <f aca="false">IF(WORKDAY(DATE(Leto,12,1)-1,22,Prazniki)&gt;EOMONTH(DATE(Leto,12,1),0),"",WORKDAY(DATE(Leto,12,1)-1,22,Prazniki))</f>
        <v>46387</v>
      </c>
      <c r="C31" s="41"/>
      <c r="D31" s="23"/>
      <c r="E31" s="42"/>
      <c r="F31" s="43" t="str">
        <f aca="false">IF(D31="","",IFERROR(INDEX(RelKm,MATCH(D31,RelNazivi,0))*IF(E31="ena smer",1,2),""))</f>
        <v/>
      </c>
      <c r="G31" s="44" t="str">
        <f aca="false">IF(F31="","",ROUND(F31*$J$3,2))</f>
        <v/>
      </c>
    </row>
    <row r="32" customFormat="false" ht="18" hidden="false" customHeight="true" outlineLevel="0" collapsed="false">
      <c r="B32" s="40" t="str">
        <f aca="false">IF(WORKDAY(DATE(Leto,12,1)-1,23,Prazniki)&gt;EOMONTH(DATE(Leto,12,1),0),"",WORKDAY(DATE(Leto,12,1)-1,23,Prazniki))</f>
        <v/>
      </c>
      <c r="C32" s="41"/>
      <c r="D32" s="23"/>
      <c r="E32" s="42"/>
      <c r="F32" s="43" t="str">
        <f aca="false">IF(D32="","",IFERROR(INDEX(RelKm,MATCH(D32,RelNazivi,0))*IF(E32="ena smer",1,2),""))</f>
        <v/>
      </c>
      <c r="G32" s="44" t="str">
        <f aca="false">IF(F32="","",ROUND(F32*$J$3,2))</f>
        <v/>
      </c>
    </row>
    <row r="33" customFormat="false" ht="18" hidden="false" customHeight="true" outlineLevel="0" collapsed="false">
      <c r="B33" s="40" t="str">
        <f aca="false">IF(WORKDAY(DATE(Leto,12,1)-1,24,Prazniki)&gt;EOMONTH(DATE(Leto,12,1),0),"",WORKDAY(DATE(Leto,12,1)-1,24,Prazniki))</f>
        <v/>
      </c>
      <c r="C33" s="41"/>
      <c r="D33" s="23"/>
      <c r="E33" s="42"/>
      <c r="F33" s="43" t="str">
        <f aca="false">IF(D33="","",IFERROR(INDEX(RelKm,MATCH(D33,RelNazivi,0))*IF(E33="ena smer",1,2),""))</f>
        <v/>
      </c>
      <c r="G33" s="44" t="str">
        <f aca="false">IF(F33="","",ROUND(F33*$J$3,2))</f>
        <v/>
      </c>
    </row>
    <row r="34" customFormat="false" ht="18" hidden="false" customHeight="true" outlineLevel="0" collapsed="false">
      <c r="B34" s="40" t="str">
        <f aca="false">IF(WORKDAY(DATE(Leto,12,1)-1,25,Prazniki)&gt;EOMONTH(DATE(Leto,12,1),0),"",WORKDAY(DATE(Leto,12,1)-1,25,Prazniki))</f>
        <v/>
      </c>
      <c r="C34" s="41"/>
      <c r="D34" s="23"/>
      <c r="E34" s="42"/>
      <c r="F34" s="43" t="str">
        <f aca="false">IF(D34="","",IFERROR(INDEX(RelKm,MATCH(D34,RelNazivi,0))*IF(E34="ena smer",1,2),""))</f>
        <v/>
      </c>
      <c r="G34" s="44" t="str">
        <f aca="false">IF(F34="","",ROUND(F34*$J$3,2))</f>
        <v/>
      </c>
    </row>
    <row r="35" customFormat="false" ht="18" hidden="false" customHeight="true" outlineLevel="0" collapsed="false">
      <c r="B35" s="40" t="str">
        <f aca="false">IF(WORKDAY(DATE(Leto,12,1)-1,26,Prazniki)&gt;EOMONTH(DATE(Leto,12,1),0),"",WORKDAY(DATE(Leto,12,1)-1,26,Prazniki))</f>
        <v/>
      </c>
      <c r="C35" s="41"/>
      <c r="D35" s="23"/>
      <c r="E35" s="42"/>
      <c r="F35" s="43" t="str">
        <f aca="false">IF(D35="","",IFERROR(INDEX(RelKm,MATCH(D35,RelNazivi,0))*IF(E35="ena smer",1,2),""))</f>
        <v/>
      </c>
      <c r="G35" s="44" t="str">
        <f aca="false">IF(F35="","",ROUND(F35*$J$3,2))</f>
        <v/>
      </c>
    </row>
    <row r="36" customFormat="false" ht="18" hidden="false" customHeight="true" outlineLevel="0" collapsed="false">
      <c r="B36" s="40" t="str">
        <f aca="false">IF(WORKDAY(DATE(Leto,12,1)-1,27,Prazniki)&gt;EOMONTH(DATE(Leto,12,1),0),"",WORKDAY(DATE(Leto,12,1)-1,27,Prazniki))</f>
        <v/>
      </c>
      <c r="C36" s="41"/>
      <c r="D36" s="23"/>
      <c r="E36" s="42"/>
      <c r="F36" s="43" t="str">
        <f aca="false">IF(D36="","",IFERROR(INDEX(RelKm,MATCH(D36,RelNazivi,0))*IF(E36="ena smer",1,2),""))</f>
        <v/>
      </c>
      <c r="G36" s="44" t="str">
        <f aca="false">IF(F36="","",ROUND(F36*$J$3,2))</f>
        <v/>
      </c>
    </row>
    <row r="37" customFormat="false" ht="18" hidden="false" customHeight="true" outlineLevel="0" collapsed="false">
      <c r="B37" s="40" t="str">
        <f aca="false">IF(WORKDAY(DATE(Leto,12,1)-1,28,Prazniki)&gt;EOMONTH(DATE(Leto,12,1),0),"",WORKDAY(DATE(Leto,12,1)-1,28,Prazniki))</f>
        <v/>
      </c>
      <c r="C37" s="41"/>
      <c r="D37" s="23"/>
      <c r="E37" s="42"/>
      <c r="F37" s="43" t="str">
        <f aca="false">IF(D37="","",IFERROR(INDEX(RelKm,MATCH(D37,RelNazivi,0))*IF(E37="ena smer",1,2),""))</f>
        <v/>
      </c>
      <c r="G37" s="44" t="str">
        <f aca="false">IF(F37="","",ROUND(F37*$J$3,2))</f>
        <v/>
      </c>
    </row>
    <row r="38" customFormat="false" ht="18" hidden="false" customHeight="true" outlineLevel="0" collapsed="false">
      <c r="B38" s="40" t="str">
        <f aca="false">IF(WORKDAY(DATE(Leto,12,1)-1,29,Prazniki)&gt;EOMONTH(DATE(Leto,12,1),0),"",WORKDAY(DATE(Leto,12,1)-1,29,Prazniki))</f>
        <v/>
      </c>
      <c r="C38" s="41"/>
      <c r="D38" s="23"/>
      <c r="E38" s="42"/>
      <c r="F38" s="43" t="str">
        <f aca="false">IF(D38="","",IFERROR(INDEX(RelKm,MATCH(D38,RelNazivi,0))*IF(E38="ena smer",1,2),""))</f>
        <v/>
      </c>
      <c r="G38" s="44" t="str">
        <f aca="false">IF(F38="","",ROUND(F38*$J$3,2))</f>
        <v/>
      </c>
    </row>
    <row r="39" customFormat="false" ht="18" hidden="false" customHeight="true" outlineLevel="0" collapsed="false">
      <c r="B39" s="40" t="str">
        <f aca="false">IF(WORKDAY(DATE(Leto,12,1)-1,30,Prazniki)&gt;EOMONTH(DATE(Leto,12,1),0),"",WORKDAY(DATE(Leto,12,1)-1,30,Prazniki))</f>
        <v/>
      </c>
      <c r="C39" s="41"/>
      <c r="D39" s="23"/>
      <c r="E39" s="42"/>
      <c r="F39" s="43" t="str">
        <f aca="false">IF(D39="","",IFERROR(INDEX(RelKm,MATCH(D39,RelNazivi,0))*IF(E39="ena smer",1,2),""))</f>
        <v/>
      </c>
      <c r="G39" s="44" t="str">
        <f aca="false">IF(F39="","",ROUND(F39*$J$3,2))</f>
        <v/>
      </c>
    </row>
    <row r="40" customFormat="false" ht="18" hidden="false" customHeight="true" outlineLevel="0" collapsed="false">
      <c r="B40" s="40" t="str">
        <f aca="false">IF(WORKDAY(DATE(Leto,12,1)-1,31,Prazniki)&gt;EOMONTH(DATE(Leto,12,1),0),"",WORKDAY(DATE(Leto,12,1)-1,31,Prazniki))</f>
        <v/>
      </c>
      <c r="C40" s="41"/>
      <c r="D40" s="23"/>
      <c r="E40" s="42"/>
      <c r="F40" s="43" t="str">
        <f aca="false">IF(D40="","",IFERROR(INDEX(RelKm,MATCH(D40,RelNazivi,0))*IF(E40="ena smer",1,2),""))</f>
        <v/>
      </c>
      <c r="G40" s="44" t="str">
        <f aca="false">IF(F40="","",ROUND(F40*$J$3,2))</f>
        <v/>
      </c>
    </row>
    <row r="41" customFormat="false" ht="24" hidden="false" customHeight="true" outlineLevel="0" collapsed="false">
      <c r="B41" s="45" t="s">
        <v>81</v>
      </c>
      <c r="C41" s="45"/>
      <c r="D41" s="45"/>
      <c r="E41" s="45"/>
      <c r="F41" s="29" t="n">
        <f aca="false">SUM(F10:F40)</f>
        <v>0</v>
      </c>
      <c r="G41" s="30" t="n">
        <f aca="false">SUM(G10:G40)</f>
        <v>0</v>
      </c>
    </row>
    <row r="42" customFormat="false" ht="15" hidden="false" customHeight="false" outlineLevel="0" collapsed="false">
      <c r="B42" s="46" t="s">
        <v>90</v>
      </c>
    </row>
    <row r="43" customFormat="false" ht="15" hidden="false" customHeight="true" outlineLevel="0" collapsed="false">
      <c r="B43" s="47" t="s">
        <v>91</v>
      </c>
      <c r="C43" s="47"/>
      <c r="D43" s="47"/>
      <c r="E43" s="47"/>
      <c r="F43" s="47"/>
      <c r="G43" s="47"/>
    </row>
    <row r="44" customFormat="false" ht="15" hidden="false" customHeight="false" outlineLevel="0" collapsed="false">
      <c r="B44" s="47"/>
      <c r="C44" s="47"/>
      <c r="D44" s="47"/>
      <c r="E44" s="47"/>
      <c r="F44" s="47"/>
      <c r="G44" s="47"/>
    </row>
    <row r="47" customFormat="false" ht="15" hidden="false" customHeight="false" outlineLevel="0" collapsed="false">
      <c r="B47" s="48" t="s">
        <v>92</v>
      </c>
      <c r="C47" s="49"/>
      <c r="D47" s="50" t="s">
        <v>93</v>
      </c>
      <c r="E47" s="51"/>
      <c r="F47" s="51"/>
      <c r="G47" s="51"/>
    </row>
    <row r="49" customFormat="false" ht="15" hidden="false" customHeight="false" outlineLevel="0" collapsed="false">
      <c r="D49" s="50" t="s">
        <v>94</v>
      </c>
      <c r="E49" s="51"/>
      <c r="F49" s="51"/>
      <c r="G49" s="51"/>
    </row>
  </sheetData>
  <mergeCells count="10">
    <mergeCell ref="B1:E1"/>
    <mergeCell ref="I2:J2"/>
    <mergeCell ref="B3:D3"/>
    <mergeCell ref="B4:D4"/>
    <mergeCell ref="B5:C5"/>
    <mergeCell ref="B6:D6"/>
    <mergeCell ref="B41:E41"/>
    <mergeCell ref="B43:G44"/>
    <mergeCell ref="E47:G47"/>
    <mergeCell ref="E49:G49"/>
  </mergeCells>
  <dataValidations count="3">
    <dataValidation allowBlank="true" error="Izberite relacijo s seznama (novo dodajte na list Relacije)." errorStyle="stop" errorTitle="Relacija" operator="between" showDropDown="false" showErrorMessage="true" showInputMessage="false" sqref="D10:D40" type="list">
      <formula1>RelNazivi</formula1>
      <formula2>0</formula2>
    </dataValidation>
    <dataValidation allowBlank="true" errorStyle="stop" operator="between" showDropDown="false" showErrorMessage="false" showInputMessage="false" sqref="E10:E40" type="list">
      <formula1>"tja in nazaj,ena smer"</formula1>
      <formula2>0</formula2>
    </dataValidation>
    <dataValidation allowBlank="true" error="Datum mora biti v mesecu december." errorStyle="stop" errorTitle="Datum" operator="between" showDropDown="false" showErrorMessage="true" showInputMessage="false" sqref="B10:B40" type="date">
      <formula1>DATE(Leto,12,1)</formula1>
      <formula2>EOMONTH(DATE(Leto,12,1),0)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2026-09-24T15:19:36Z</dcterms:created>
  <dc:creator>openpyxl</dc:creator>
  <dc:description/>
  <dc:language>en-US</dc:language>
  <cp:lastModifiedBy/>
  <dcterms:modified xsi:type="dcterms:W3CDTF">2026-09-24T15:19:37Z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